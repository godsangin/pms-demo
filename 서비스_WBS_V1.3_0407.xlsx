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4D4AFDF-55C6-498A-AE50-2EFB4240A4AE}" xr6:coauthVersionLast="47" xr6:coauthVersionMax="47" xr10:uidLastSave="{00000000-0000-0000-0000-000000000000}"/>
  <bookViews>
    <workbookView xWindow="-4290" yWindow="0" windowWidth="25905" windowHeight="15585" activeTab="2" xr2:uid="{00000000-000D-0000-FFFF-FFFF00000000}"/>
  </bookViews>
  <sheets>
    <sheet name="표지" sheetId="1" r:id="rId1"/>
    <sheet name="개정이력" sheetId="2" r:id="rId2"/>
    <sheet name="WBS_선행개발" sheetId="4" r:id="rId3"/>
    <sheet name="시스템별 진척관리" sheetId="10" r:id="rId4"/>
    <sheet name="holiday" sheetId="6" r:id="rId5"/>
  </sheets>
  <externalReferences>
    <externalReference r:id="rId6"/>
  </externalReferences>
  <definedNames>
    <definedName name="_xlnm._FilterDatabase" localSheetId="2" hidden="1">WBS_선행개발!$P$8:$P$285</definedName>
    <definedName name="_xlnm.Print_Area" localSheetId="0">표지!$A$1:$I$46</definedName>
    <definedName name="수용여부">[1]범례!$I$7:$I$12</definedName>
    <definedName name="요구구분">[1]범례!$F$7:$F$10</definedName>
    <definedName name="협의상태">[1]범례!$D$7:$D$11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2" i="4" l="1"/>
  <c r="S72" i="4"/>
  <c r="T71" i="4"/>
  <c r="S71" i="4"/>
  <c r="T69" i="4"/>
  <c r="S69" i="4"/>
  <c r="T68" i="4"/>
  <c r="S68" i="4"/>
  <c r="T66" i="4"/>
  <c r="S66" i="4"/>
  <c r="T65" i="4"/>
  <c r="S65" i="4"/>
  <c r="T64" i="4"/>
  <c r="S64" i="4"/>
  <c r="T63" i="4"/>
  <c r="S63" i="4"/>
  <c r="T62" i="4"/>
  <c r="S62" i="4"/>
  <c r="T61" i="4"/>
  <c r="S61" i="4"/>
  <c r="T60" i="4"/>
  <c r="S60" i="4"/>
  <c r="S59" i="4"/>
  <c r="T58" i="4"/>
  <c r="S58" i="4"/>
  <c r="T57" i="4"/>
  <c r="S57" i="4"/>
  <c r="M148" i="4"/>
  <c r="N148" i="4"/>
  <c r="Y148" i="4" s="1"/>
  <c r="L149" i="4"/>
  <c r="R149" i="4"/>
  <c r="W149" i="4" s="1"/>
  <c r="Y149" i="4"/>
  <c r="L150" i="4"/>
  <c r="R150" i="4"/>
  <c r="W150" i="4" s="1"/>
  <c r="Y150" i="4"/>
  <c r="N181" i="4"/>
  <c r="M181" i="4"/>
  <c r="N186" i="4"/>
  <c r="M186" i="4"/>
  <c r="N282" i="4"/>
  <c r="Y282" i="4" s="1"/>
  <c r="M282" i="4"/>
  <c r="N277" i="4"/>
  <c r="N276" i="4" s="1"/>
  <c r="Y276" i="4" s="1"/>
  <c r="M277" i="4"/>
  <c r="N272" i="4"/>
  <c r="M272" i="4"/>
  <c r="N268" i="4"/>
  <c r="Y268" i="4" s="1"/>
  <c r="M268" i="4"/>
  <c r="N264" i="4"/>
  <c r="Y264" i="4" s="1"/>
  <c r="M264" i="4"/>
  <c r="N258" i="4"/>
  <c r="N257" i="4" s="1"/>
  <c r="Y257" i="4" s="1"/>
  <c r="M258" i="4"/>
  <c r="N248" i="4"/>
  <c r="Y248" i="4" s="1"/>
  <c r="M248" i="4"/>
  <c r="N231" i="4"/>
  <c r="Y231" i="4" s="1"/>
  <c r="M231" i="4"/>
  <c r="N227" i="4"/>
  <c r="Y227" i="4" s="1"/>
  <c r="M227" i="4"/>
  <c r="N223" i="4"/>
  <c r="Y223" i="4" s="1"/>
  <c r="M223" i="4"/>
  <c r="N217" i="4"/>
  <c r="Y217" i="4" s="1"/>
  <c r="M217" i="4"/>
  <c r="N213" i="4"/>
  <c r="Y213" i="4" s="1"/>
  <c r="M213" i="4"/>
  <c r="N209" i="4"/>
  <c r="Y209" i="4" s="1"/>
  <c r="M209" i="4"/>
  <c r="N205" i="4"/>
  <c r="Y205" i="4" s="1"/>
  <c r="M205" i="4"/>
  <c r="N201" i="4"/>
  <c r="Y201" i="4" s="1"/>
  <c r="M201" i="4"/>
  <c r="N197" i="4"/>
  <c r="M197" i="4"/>
  <c r="N168" i="4"/>
  <c r="M168" i="4"/>
  <c r="N163" i="4"/>
  <c r="M163" i="4"/>
  <c r="N158" i="4"/>
  <c r="M158" i="4"/>
  <c r="N154" i="4"/>
  <c r="M154" i="4"/>
  <c r="N151" i="4"/>
  <c r="M151" i="4"/>
  <c r="N141" i="4"/>
  <c r="M141" i="4"/>
  <c r="N133" i="4"/>
  <c r="N132" i="4" s="1"/>
  <c r="M133" i="4"/>
  <c r="M132" i="4" s="1"/>
  <c r="N128" i="4"/>
  <c r="M128" i="4"/>
  <c r="N126" i="4"/>
  <c r="M126" i="4"/>
  <c r="N119" i="4"/>
  <c r="N118" i="4" s="1"/>
  <c r="M119" i="4"/>
  <c r="M118" i="4" s="1"/>
  <c r="N114" i="4"/>
  <c r="M114" i="4"/>
  <c r="N112" i="4"/>
  <c r="M112" i="4"/>
  <c r="N107" i="4"/>
  <c r="M107" i="4"/>
  <c r="N96" i="4"/>
  <c r="M96" i="4"/>
  <c r="N91" i="4"/>
  <c r="M91" i="4"/>
  <c r="N84" i="4"/>
  <c r="M84" i="4"/>
  <c r="N80" i="4"/>
  <c r="M80" i="4"/>
  <c r="N74" i="4"/>
  <c r="M74" i="4"/>
  <c r="N59" i="4"/>
  <c r="Y59" i="4" s="1"/>
  <c r="M59" i="4"/>
  <c r="N52" i="4"/>
  <c r="M52" i="4"/>
  <c r="N46" i="4"/>
  <c r="M46" i="4"/>
  <c r="N43" i="4"/>
  <c r="M43" i="4"/>
  <c r="N30" i="4"/>
  <c r="M30" i="4"/>
  <c r="N25" i="4"/>
  <c r="M25" i="4"/>
  <c r="Q168" i="4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Y285" i="4"/>
  <c r="X285" i="4"/>
  <c r="X284" i="4" s="1"/>
  <c r="X283" i="4" s="1"/>
  <c r="U282" i="4" s="1"/>
  <c r="R285" i="4"/>
  <c r="W285" i="4" s="1"/>
  <c r="L285" i="4"/>
  <c r="Y284" i="4"/>
  <c r="R284" i="4"/>
  <c r="W284" i="4" s="1"/>
  <c r="L284" i="4"/>
  <c r="Y283" i="4"/>
  <c r="R283" i="4"/>
  <c r="W283" i="4" s="1"/>
  <c r="L283" i="4"/>
  <c r="Y280" i="4"/>
  <c r="R280" i="4"/>
  <c r="W280" i="4" s="1"/>
  <c r="L280" i="4"/>
  <c r="Y279" i="4"/>
  <c r="R279" i="4"/>
  <c r="W279" i="4" s="1"/>
  <c r="L279" i="4"/>
  <c r="Y278" i="4"/>
  <c r="R278" i="4"/>
  <c r="W278" i="4" s="1"/>
  <c r="L278" i="4"/>
  <c r="Y275" i="4"/>
  <c r="R275" i="4"/>
  <c r="W275" i="4" s="1"/>
  <c r="L275" i="4"/>
  <c r="Y274" i="4"/>
  <c r="R274" i="4"/>
  <c r="W274" i="4" s="1"/>
  <c r="L274" i="4"/>
  <c r="Y273" i="4"/>
  <c r="R273" i="4"/>
  <c r="W273" i="4" s="1"/>
  <c r="L273" i="4"/>
  <c r="Y271" i="4"/>
  <c r="R271" i="4"/>
  <c r="W271" i="4" s="1"/>
  <c r="L271" i="4"/>
  <c r="Y270" i="4"/>
  <c r="R270" i="4"/>
  <c r="W270" i="4" s="1"/>
  <c r="L270" i="4"/>
  <c r="Y269" i="4"/>
  <c r="R269" i="4"/>
  <c r="W269" i="4" s="1"/>
  <c r="L269" i="4"/>
  <c r="Y267" i="4"/>
  <c r="R267" i="4"/>
  <c r="W267" i="4" s="1"/>
  <c r="L267" i="4"/>
  <c r="Y266" i="4"/>
  <c r="R266" i="4"/>
  <c r="W266" i="4" s="1"/>
  <c r="L266" i="4"/>
  <c r="Y265" i="4"/>
  <c r="R265" i="4"/>
  <c r="W265" i="4" s="1"/>
  <c r="L265" i="4"/>
  <c r="Y261" i="4"/>
  <c r="R261" i="4"/>
  <c r="W261" i="4" s="1"/>
  <c r="L261" i="4"/>
  <c r="Y260" i="4"/>
  <c r="R260" i="4"/>
  <c r="W260" i="4" s="1"/>
  <c r="L260" i="4"/>
  <c r="Y259" i="4"/>
  <c r="R259" i="4"/>
  <c r="W259" i="4" s="1"/>
  <c r="L259" i="4"/>
  <c r="Y256" i="4"/>
  <c r="R256" i="4"/>
  <c r="W256" i="4" s="1"/>
  <c r="L256" i="4"/>
  <c r="Y255" i="4"/>
  <c r="R255" i="4"/>
  <c r="W255" i="4" s="1"/>
  <c r="L255" i="4"/>
  <c r="Y254" i="4"/>
  <c r="R254" i="4"/>
  <c r="W254" i="4" s="1"/>
  <c r="L254" i="4"/>
  <c r="N253" i="4"/>
  <c r="Y253" i="4" s="1"/>
  <c r="M253" i="4"/>
  <c r="Y252" i="4"/>
  <c r="R252" i="4"/>
  <c r="W252" i="4" s="1"/>
  <c r="L252" i="4"/>
  <c r="Y251" i="4"/>
  <c r="R251" i="4"/>
  <c r="W251" i="4" s="1"/>
  <c r="L251" i="4"/>
  <c r="Y250" i="4"/>
  <c r="R250" i="4"/>
  <c r="W250" i="4" s="1"/>
  <c r="L250" i="4"/>
  <c r="Y249" i="4"/>
  <c r="R249" i="4"/>
  <c r="W249" i="4" s="1"/>
  <c r="L249" i="4"/>
  <c r="Y247" i="4"/>
  <c r="R247" i="4"/>
  <c r="W247" i="4" s="1"/>
  <c r="L247" i="4"/>
  <c r="Y246" i="4"/>
  <c r="R246" i="4"/>
  <c r="W246" i="4" s="1"/>
  <c r="L246" i="4"/>
  <c r="N245" i="4"/>
  <c r="M245" i="4"/>
  <c r="Y244" i="4"/>
  <c r="R244" i="4"/>
  <c r="W244" i="4" s="1"/>
  <c r="L244" i="4"/>
  <c r="Y243" i="4"/>
  <c r="R243" i="4"/>
  <c r="W243" i="4" s="1"/>
  <c r="L243" i="4"/>
  <c r="N242" i="4"/>
  <c r="Y242" i="4" s="1"/>
  <c r="M242" i="4"/>
  <c r="Y241" i="4"/>
  <c r="R241" i="4"/>
  <c r="W241" i="4" s="1"/>
  <c r="L241" i="4"/>
  <c r="Y240" i="4"/>
  <c r="R240" i="4"/>
  <c r="W240" i="4" s="1"/>
  <c r="L240" i="4"/>
  <c r="N239" i="4"/>
  <c r="Y239" i="4" s="1"/>
  <c r="M239" i="4"/>
  <c r="Y236" i="4"/>
  <c r="R236" i="4"/>
  <c r="W236" i="4" s="1"/>
  <c r="L236" i="4"/>
  <c r="N235" i="4"/>
  <c r="Y235" i="4" s="1"/>
  <c r="M235" i="4"/>
  <c r="Y234" i="4"/>
  <c r="R234" i="4"/>
  <c r="W234" i="4" s="1"/>
  <c r="L234" i="4"/>
  <c r="Y233" i="4"/>
  <c r="R233" i="4"/>
  <c r="W233" i="4" s="1"/>
  <c r="L233" i="4"/>
  <c r="Y232" i="4"/>
  <c r="R232" i="4"/>
  <c r="W232" i="4" s="1"/>
  <c r="L232" i="4"/>
  <c r="Y230" i="4"/>
  <c r="R230" i="4"/>
  <c r="W230" i="4" s="1"/>
  <c r="L230" i="4"/>
  <c r="Y229" i="4"/>
  <c r="R229" i="4"/>
  <c r="W229" i="4" s="1"/>
  <c r="L229" i="4"/>
  <c r="Y228" i="4"/>
  <c r="R228" i="4"/>
  <c r="W228" i="4" s="1"/>
  <c r="L228" i="4"/>
  <c r="Y226" i="4"/>
  <c r="R226" i="4"/>
  <c r="W226" i="4" s="1"/>
  <c r="L226" i="4"/>
  <c r="Y225" i="4"/>
  <c r="R225" i="4"/>
  <c r="W225" i="4" s="1"/>
  <c r="L225" i="4"/>
  <c r="Y224" i="4"/>
  <c r="R224" i="4"/>
  <c r="W224" i="4" s="1"/>
  <c r="L224" i="4"/>
  <c r="Y220" i="4"/>
  <c r="R220" i="4"/>
  <c r="W220" i="4" s="1"/>
  <c r="L220" i="4"/>
  <c r="Y219" i="4"/>
  <c r="R219" i="4"/>
  <c r="W219" i="4" s="1"/>
  <c r="L219" i="4"/>
  <c r="Y218" i="4"/>
  <c r="R218" i="4"/>
  <c r="W218" i="4" s="1"/>
  <c r="L218" i="4"/>
  <c r="Y216" i="4"/>
  <c r="R216" i="4"/>
  <c r="W216" i="4" s="1"/>
  <c r="L216" i="4"/>
  <c r="Y215" i="4"/>
  <c r="R215" i="4"/>
  <c r="W215" i="4" s="1"/>
  <c r="L215" i="4"/>
  <c r="Y214" i="4"/>
  <c r="R214" i="4"/>
  <c r="W214" i="4" s="1"/>
  <c r="L214" i="4"/>
  <c r="Y212" i="4"/>
  <c r="R212" i="4"/>
  <c r="W212" i="4" s="1"/>
  <c r="L212" i="4"/>
  <c r="Y211" i="4"/>
  <c r="R211" i="4"/>
  <c r="W211" i="4" s="1"/>
  <c r="L211" i="4"/>
  <c r="Y210" i="4"/>
  <c r="R210" i="4"/>
  <c r="W210" i="4" s="1"/>
  <c r="L210" i="4"/>
  <c r="Y208" i="4"/>
  <c r="R208" i="4"/>
  <c r="W208" i="4" s="1"/>
  <c r="L208" i="4"/>
  <c r="Y207" i="4"/>
  <c r="R207" i="4"/>
  <c r="W207" i="4" s="1"/>
  <c r="L207" i="4"/>
  <c r="Y206" i="4"/>
  <c r="R206" i="4"/>
  <c r="W206" i="4" s="1"/>
  <c r="L206" i="4"/>
  <c r="Y204" i="4"/>
  <c r="R204" i="4"/>
  <c r="W204" i="4" s="1"/>
  <c r="L204" i="4"/>
  <c r="Y203" i="4"/>
  <c r="R203" i="4"/>
  <c r="W203" i="4" s="1"/>
  <c r="L203" i="4"/>
  <c r="Y202" i="4"/>
  <c r="R202" i="4"/>
  <c r="W202" i="4" s="1"/>
  <c r="L202" i="4"/>
  <c r="Y179" i="4"/>
  <c r="R179" i="4"/>
  <c r="W179" i="4" s="1"/>
  <c r="L179" i="4"/>
  <c r="Y178" i="4"/>
  <c r="R178" i="4"/>
  <c r="W178" i="4" s="1"/>
  <c r="L178" i="4"/>
  <c r="N177" i="4"/>
  <c r="M177" i="4"/>
  <c r="Y176" i="4"/>
  <c r="R176" i="4"/>
  <c r="W176" i="4" s="1"/>
  <c r="L176" i="4"/>
  <c r="Y175" i="4"/>
  <c r="R175" i="4"/>
  <c r="W175" i="4" s="1"/>
  <c r="L175" i="4"/>
  <c r="N174" i="4"/>
  <c r="M174" i="4"/>
  <c r="Y173" i="4"/>
  <c r="R173" i="4"/>
  <c r="W173" i="4" s="1"/>
  <c r="L173" i="4"/>
  <c r="Y172" i="4"/>
  <c r="R172" i="4"/>
  <c r="W172" i="4" s="1"/>
  <c r="L172" i="4"/>
  <c r="Y171" i="4"/>
  <c r="R171" i="4"/>
  <c r="W171" i="4" s="1"/>
  <c r="L171" i="4"/>
  <c r="Y170" i="4"/>
  <c r="R170" i="4"/>
  <c r="W170" i="4" s="1"/>
  <c r="L170" i="4"/>
  <c r="Y169" i="4"/>
  <c r="R169" i="4"/>
  <c r="W169" i="4" s="1"/>
  <c r="L169" i="4"/>
  <c r="Y72" i="4"/>
  <c r="R72" i="4"/>
  <c r="W72" i="4" s="1"/>
  <c r="L72" i="4"/>
  <c r="Y71" i="4"/>
  <c r="R71" i="4"/>
  <c r="W71" i="4" s="1"/>
  <c r="L71" i="4"/>
  <c r="N70" i="4"/>
  <c r="Y70" i="4" s="1"/>
  <c r="M70" i="4"/>
  <c r="S70" i="4" s="1"/>
  <c r="Y69" i="4"/>
  <c r="R69" i="4"/>
  <c r="W69" i="4" s="1"/>
  <c r="L69" i="4"/>
  <c r="Y68" i="4"/>
  <c r="R68" i="4"/>
  <c r="W68" i="4" s="1"/>
  <c r="L68" i="4"/>
  <c r="N67" i="4"/>
  <c r="T67" i="4" s="1"/>
  <c r="M67" i="4"/>
  <c r="S67" i="4" s="1"/>
  <c r="Y66" i="4"/>
  <c r="R66" i="4"/>
  <c r="W66" i="4" s="1"/>
  <c r="L66" i="4"/>
  <c r="Y65" i="4"/>
  <c r="R65" i="4"/>
  <c r="W65" i="4" s="1"/>
  <c r="L65" i="4"/>
  <c r="Y64" i="4"/>
  <c r="R64" i="4"/>
  <c r="W64" i="4" s="1"/>
  <c r="L64" i="4"/>
  <c r="Y63" i="4"/>
  <c r="R63" i="4"/>
  <c r="W63" i="4" s="1"/>
  <c r="L63" i="4"/>
  <c r="Y62" i="4"/>
  <c r="R62" i="4"/>
  <c r="W62" i="4" s="1"/>
  <c r="L62" i="4"/>
  <c r="Y61" i="4"/>
  <c r="R61" i="4"/>
  <c r="W61" i="4" s="1"/>
  <c r="L61" i="4"/>
  <c r="Y60" i="4"/>
  <c r="R60" i="4"/>
  <c r="W60" i="4" s="1"/>
  <c r="L60" i="4"/>
  <c r="Y58" i="4"/>
  <c r="R58" i="4"/>
  <c r="W58" i="4" s="1"/>
  <c r="L58" i="4"/>
  <c r="Y57" i="4"/>
  <c r="R57" i="4"/>
  <c r="W57" i="4" s="1"/>
  <c r="L57" i="4"/>
  <c r="N56" i="4"/>
  <c r="Y56" i="4" s="1"/>
  <c r="M56" i="4"/>
  <c r="S56" i="4" s="1"/>
  <c r="R199" i="4"/>
  <c r="R198" i="4"/>
  <c r="W198" i="4" s="1"/>
  <c r="R196" i="4"/>
  <c r="R194" i="4"/>
  <c r="R193" i="4"/>
  <c r="R190" i="4"/>
  <c r="R189" i="4"/>
  <c r="R188" i="4"/>
  <c r="R187" i="4"/>
  <c r="R185" i="4"/>
  <c r="R184" i="4"/>
  <c r="R183" i="4"/>
  <c r="R182" i="4"/>
  <c r="R166" i="4"/>
  <c r="R165" i="4"/>
  <c r="R164" i="4"/>
  <c r="R162" i="4"/>
  <c r="R161" i="4"/>
  <c r="R160" i="4"/>
  <c r="R159" i="4"/>
  <c r="R157" i="4"/>
  <c r="R156" i="4"/>
  <c r="R155" i="4"/>
  <c r="R153" i="4"/>
  <c r="R152" i="4"/>
  <c r="R145" i="4"/>
  <c r="R144" i="4"/>
  <c r="R143" i="4"/>
  <c r="R142" i="4"/>
  <c r="R140" i="4"/>
  <c r="R139" i="4"/>
  <c r="R138" i="4"/>
  <c r="R137" i="4"/>
  <c r="R136" i="4"/>
  <c r="R135" i="4"/>
  <c r="R134" i="4"/>
  <c r="R131" i="4"/>
  <c r="R130" i="4"/>
  <c r="R129" i="4"/>
  <c r="R127" i="4"/>
  <c r="R124" i="4"/>
  <c r="R123" i="4"/>
  <c r="R122" i="4"/>
  <c r="R121" i="4"/>
  <c r="R120" i="4"/>
  <c r="R117" i="4"/>
  <c r="R116" i="4"/>
  <c r="R115" i="4"/>
  <c r="R113" i="4"/>
  <c r="R111" i="4"/>
  <c r="R110" i="4"/>
  <c r="R109" i="4"/>
  <c r="R108" i="4"/>
  <c r="R103" i="4"/>
  <c r="R102" i="4"/>
  <c r="R101" i="4"/>
  <c r="R100" i="4"/>
  <c r="R99" i="4"/>
  <c r="R98" i="4"/>
  <c r="R97" i="4"/>
  <c r="R95" i="4"/>
  <c r="R94" i="4"/>
  <c r="R93" i="4"/>
  <c r="R92" i="4"/>
  <c r="R90" i="4"/>
  <c r="R89" i="4"/>
  <c r="R87" i="4"/>
  <c r="R86" i="4"/>
  <c r="R85" i="4"/>
  <c r="R83" i="4"/>
  <c r="R82" i="4"/>
  <c r="R81" i="4"/>
  <c r="R79" i="4"/>
  <c r="R78" i="4"/>
  <c r="R77" i="4"/>
  <c r="R76" i="4"/>
  <c r="R75" i="4"/>
  <c r="R54" i="4"/>
  <c r="R53" i="4"/>
  <c r="R51" i="4"/>
  <c r="R50" i="4"/>
  <c r="R49" i="4"/>
  <c r="R48" i="4"/>
  <c r="R47" i="4"/>
  <c r="R45" i="4"/>
  <c r="R44" i="4"/>
  <c r="R41" i="4"/>
  <c r="W41" i="4" s="1"/>
  <c r="R40" i="4"/>
  <c r="W40" i="4" s="1"/>
  <c r="R39" i="4"/>
  <c r="R38" i="4"/>
  <c r="R37" i="4"/>
  <c r="R36" i="4"/>
  <c r="R34" i="4"/>
  <c r="R33" i="4"/>
  <c r="R32" i="4"/>
  <c r="R31" i="4"/>
  <c r="R29" i="4"/>
  <c r="R28" i="4"/>
  <c r="R26" i="4"/>
  <c r="R24" i="4"/>
  <c r="R23" i="4"/>
  <c r="R20" i="4"/>
  <c r="Y198" i="4"/>
  <c r="L198" i="4"/>
  <c r="Y54" i="4"/>
  <c r="L54" i="4"/>
  <c r="Y53" i="4"/>
  <c r="L53" i="4"/>
  <c r="R27" i="4"/>
  <c r="W27" i="4" s="1"/>
  <c r="X27" i="4"/>
  <c r="Y27" i="4"/>
  <c r="X39" i="4"/>
  <c r="Y39" i="4"/>
  <c r="X40" i="4"/>
  <c r="Y40" i="4"/>
  <c r="X41" i="4"/>
  <c r="Y41" i="4"/>
  <c r="L47" i="4"/>
  <c r="L48" i="4"/>
  <c r="L49" i="4"/>
  <c r="L50" i="4"/>
  <c r="L51" i="4"/>
  <c r="L23" i="4"/>
  <c r="L24" i="4"/>
  <c r="L26" i="4"/>
  <c r="L27" i="4"/>
  <c r="L28" i="4"/>
  <c r="L29" i="4"/>
  <c r="L31" i="4"/>
  <c r="L32" i="4"/>
  <c r="L33" i="4"/>
  <c r="L34" i="4"/>
  <c r="L36" i="4"/>
  <c r="L37" i="4"/>
  <c r="L38" i="4"/>
  <c r="L39" i="4"/>
  <c r="L40" i="4"/>
  <c r="L41" i="4"/>
  <c r="L44" i="4"/>
  <c r="L45" i="4"/>
  <c r="L75" i="4"/>
  <c r="L76" i="4"/>
  <c r="L77" i="4"/>
  <c r="L78" i="4"/>
  <c r="L79" i="4"/>
  <c r="L81" i="4"/>
  <c r="L82" i="4"/>
  <c r="L83" i="4"/>
  <c r="L85" i="4"/>
  <c r="L86" i="4"/>
  <c r="L87" i="4"/>
  <c r="L89" i="4"/>
  <c r="L90" i="4"/>
  <c r="L92" i="4"/>
  <c r="L93" i="4"/>
  <c r="L94" i="4"/>
  <c r="L95" i="4"/>
  <c r="L97" i="4"/>
  <c r="L98" i="4"/>
  <c r="L99" i="4"/>
  <c r="L100" i="4"/>
  <c r="L101" i="4"/>
  <c r="L102" i="4"/>
  <c r="L148" i="4" l="1"/>
  <c r="S55" i="4"/>
  <c r="R148" i="4"/>
  <c r="W148" i="4" s="1"/>
  <c r="T59" i="4"/>
  <c r="L272" i="4"/>
  <c r="T70" i="4"/>
  <c r="M55" i="4"/>
  <c r="T56" i="4"/>
  <c r="T55" i="4" s="1"/>
  <c r="N125" i="4"/>
  <c r="L52" i="4"/>
  <c r="Y52" i="4"/>
  <c r="L282" i="4"/>
  <c r="X282" i="4"/>
  <c r="U281" i="4" s="1"/>
  <c r="Z283" i="4"/>
  <c r="Z285" i="4"/>
  <c r="L209" i="4"/>
  <c r="L227" i="4"/>
  <c r="L264" i="4"/>
  <c r="N281" i="4"/>
  <c r="Y281" i="4" s="1"/>
  <c r="L258" i="4"/>
  <c r="M281" i="4"/>
  <c r="L253" i="4"/>
  <c r="L46" i="4"/>
  <c r="N106" i="4"/>
  <c r="L213" i="4"/>
  <c r="L268" i="4"/>
  <c r="L239" i="4"/>
  <c r="L205" i="4"/>
  <c r="L223" i="4"/>
  <c r="M167" i="4"/>
  <c r="N147" i="4"/>
  <c r="N146" i="4" s="1"/>
  <c r="N167" i="4"/>
  <c r="N263" i="4"/>
  <c r="Y263" i="4" s="1"/>
  <c r="L231" i="4"/>
  <c r="M147" i="4"/>
  <c r="L245" i="4"/>
  <c r="M42" i="4"/>
  <c r="M125" i="4"/>
  <c r="L235" i="4"/>
  <c r="L242" i="4"/>
  <c r="Y272" i="4"/>
  <c r="N55" i="4"/>
  <c r="Y55" i="4" s="1"/>
  <c r="M222" i="4"/>
  <c r="N42" i="4"/>
  <c r="N238" i="4"/>
  <c r="N237" i="4" s="1"/>
  <c r="Y237" i="4" s="1"/>
  <c r="L201" i="4"/>
  <c r="M106" i="4"/>
  <c r="L217" i="4"/>
  <c r="R242" i="4"/>
  <c r="W242" i="4" s="1"/>
  <c r="R277" i="4"/>
  <c r="W277" i="4" s="1"/>
  <c r="R276" i="4" s="1"/>
  <c r="W276" i="4" s="1"/>
  <c r="Y245" i="4"/>
  <c r="N222" i="4"/>
  <c r="R201" i="4"/>
  <c r="W201" i="4" s="1"/>
  <c r="Y277" i="4"/>
  <c r="L248" i="4"/>
  <c r="M257" i="4"/>
  <c r="L257" i="4" s="1"/>
  <c r="L277" i="4"/>
  <c r="R253" i="4"/>
  <c r="W253" i="4" s="1"/>
  <c r="R209" i="4"/>
  <c r="W209" i="4" s="1"/>
  <c r="R248" i="4"/>
  <c r="W248" i="4" s="1"/>
  <c r="R258" i="4"/>
  <c r="W258" i="4" s="1"/>
  <c r="Z284" i="4"/>
  <c r="R282" i="4"/>
  <c r="W282" i="4" s="1"/>
  <c r="R213" i="4"/>
  <c r="W213" i="4" s="1"/>
  <c r="R223" i="4"/>
  <c r="W223" i="4" s="1"/>
  <c r="R217" i="4"/>
  <c r="W217" i="4" s="1"/>
  <c r="R268" i="4"/>
  <c r="W268" i="4" s="1"/>
  <c r="R272" i="4"/>
  <c r="W272" i="4" s="1"/>
  <c r="R227" i="4"/>
  <c r="W227" i="4" s="1"/>
  <c r="R231" i="4"/>
  <c r="W231" i="4" s="1"/>
  <c r="R235" i="4"/>
  <c r="W235" i="4" s="1"/>
  <c r="Y258" i="4"/>
  <c r="M276" i="4"/>
  <c r="L276" i="4" s="1"/>
  <c r="R205" i="4"/>
  <c r="W205" i="4" s="1"/>
  <c r="R239" i="4"/>
  <c r="W239" i="4" s="1"/>
  <c r="R264" i="4"/>
  <c r="W264" i="4" s="1"/>
  <c r="M200" i="4"/>
  <c r="R245" i="4"/>
  <c r="W245" i="4" s="1"/>
  <c r="N200" i="4"/>
  <c r="Y200" i="4" s="1"/>
  <c r="M238" i="4"/>
  <c r="M263" i="4"/>
  <c r="Y177" i="4"/>
  <c r="L177" i="4"/>
  <c r="L168" i="4"/>
  <c r="L70" i="4"/>
  <c r="L174" i="4"/>
  <c r="Y174" i="4"/>
  <c r="R67" i="4"/>
  <c r="W67" i="4" s="1"/>
  <c r="Y168" i="4"/>
  <c r="R177" i="4"/>
  <c r="W177" i="4" s="1"/>
  <c r="R174" i="4"/>
  <c r="W174" i="4" s="1"/>
  <c r="R168" i="4"/>
  <c r="W168" i="4" s="1"/>
  <c r="L56" i="4"/>
  <c r="R56" i="4"/>
  <c r="W56" i="4" s="1"/>
  <c r="W53" i="4"/>
  <c r="L59" i="4"/>
  <c r="L67" i="4"/>
  <c r="R70" i="4"/>
  <c r="W70" i="4" s="1"/>
  <c r="R59" i="4"/>
  <c r="W59" i="4" s="1"/>
  <c r="Y67" i="4"/>
  <c r="W54" i="4"/>
  <c r="W39" i="4"/>
  <c r="Z39" i="4" s="1"/>
  <c r="Z40" i="4"/>
  <c r="Z27" i="4"/>
  <c r="Z41" i="4"/>
  <c r="Y38" i="4"/>
  <c r="X38" i="4"/>
  <c r="W38" i="4"/>
  <c r="Y37" i="4"/>
  <c r="X37" i="4"/>
  <c r="W37" i="4"/>
  <c r="Y36" i="4"/>
  <c r="X36" i="4"/>
  <c r="W36" i="4"/>
  <c r="Y33" i="4"/>
  <c r="X33" i="4"/>
  <c r="W33" i="4"/>
  <c r="Y34" i="4"/>
  <c r="X34" i="4"/>
  <c r="W34" i="4"/>
  <c r="Y32" i="4"/>
  <c r="X32" i="4"/>
  <c r="W32" i="4"/>
  <c r="Y31" i="4"/>
  <c r="X31" i="4"/>
  <c r="W31" i="4"/>
  <c r="Y29" i="4"/>
  <c r="X29" i="4"/>
  <c r="W29" i="4"/>
  <c r="Y28" i="4"/>
  <c r="X28" i="4"/>
  <c r="W28" i="4"/>
  <c r="Y26" i="4"/>
  <c r="X26" i="4"/>
  <c r="W26" i="4"/>
  <c r="Y107" i="4"/>
  <c r="Y108" i="4"/>
  <c r="Y109" i="4"/>
  <c r="Y110" i="4"/>
  <c r="Y111" i="4"/>
  <c r="Y112" i="4"/>
  <c r="Y113" i="4"/>
  <c r="Y114" i="4"/>
  <c r="Y115" i="4"/>
  <c r="Y116" i="4"/>
  <c r="Y117" i="4"/>
  <c r="Y119" i="4"/>
  <c r="Y120" i="4"/>
  <c r="Y121" i="4"/>
  <c r="Y122" i="4"/>
  <c r="Y123" i="4"/>
  <c r="Y124" i="4"/>
  <c r="Y126" i="4"/>
  <c r="Y127" i="4"/>
  <c r="Y128" i="4"/>
  <c r="Y129" i="4"/>
  <c r="Y130" i="4"/>
  <c r="Y131" i="4"/>
  <c r="Y133" i="4"/>
  <c r="Y134" i="4"/>
  <c r="Y135" i="4"/>
  <c r="Y136" i="4"/>
  <c r="Y137" i="4"/>
  <c r="Y138" i="4"/>
  <c r="Y139" i="4"/>
  <c r="Y140" i="4"/>
  <c r="Y142" i="4"/>
  <c r="Y143" i="4"/>
  <c r="Y144" i="4"/>
  <c r="Y145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82" i="4"/>
  <c r="Y183" i="4"/>
  <c r="Y184" i="4"/>
  <c r="Y185" i="4"/>
  <c r="Y187" i="4"/>
  <c r="Y188" i="4"/>
  <c r="Y189" i="4"/>
  <c r="Y190" i="4"/>
  <c r="Y193" i="4"/>
  <c r="Y194" i="4"/>
  <c r="Y196" i="4"/>
  <c r="Y199" i="4"/>
  <c r="L103" i="4"/>
  <c r="L107" i="4"/>
  <c r="L108" i="4"/>
  <c r="L109" i="4"/>
  <c r="L110" i="4"/>
  <c r="L111" i="4"/>
  <c r="L112" i="4"/>
  <c r="L113" i="4"/>
  <c r="L114" i="4"/>
  <c r="L115" i="4"/>
  <c r="L116" i="4"/>
  <c r="L117" i="4"/>
  <c r="L119" i="4"/>
  <c r="L120" i="4"/>
  <c r="L121" i="4"/>
  <c r="L122" i="4"/>
  <c r="L123" i="4"/>
  <c r="L124" i="4"/>
  <c r="L126" i="4"/>
  <c r="L127" i="4"/>
  <c r="L128" i="4"/>
  <c r="L129" i="4"/>
  <c r="L130" i="4"/>
  <c r="L131" i="4"/>
  <c r="L133" i="4"/>
  <c r="L134" i="4"/>
  <c r="L135" i="4"/>
  <c r="L136" i="4"/>
  <c r="L137" i="4"/>
  <c r="L138" i="4"/>
  <c r="L139" i="4"/>
  <c r="L140" i="4"/>
  <c r="L142" i="4"/>
  <c r="L143" i="4"/>
  <c r="L144" i="4"/>
  <c r="L145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82" i="4"/>
  <c r="L183" i="4"/>
  <c r="L184" i="4"/>
  <c r="L185" i="4"/>
  <c r="L187" i="4"/>
  <c r="L188" i="4"/>
  <c r="L189" i="4"/>
  <c r="L190" i="4"/>
  <c r="L193" i="4"/>
  <c r="L194" i="4"/>
  <c r="L196" i="4"/>
  <c r="L199" i="4"/>
  <c r="W108" i="4"/>
  <c r="W109" i="4"/>
  <c r="W110" i="4"/>
  <c r="W111" i="4"/>
  <c r="W113" i="4"/>
  <c r="R112" i="4" s="1"/>
  <c r="W115" i="4"/>
  <c r="W116" i="4"/>
  <c r="W117" i="4"/>
  <c r="W120" i="4"/>
  <c r="W121" i="4"/>
  <c r="W122" i="4"/>
  <c r="W123" i="4"/>
  <c r="M192" i="4"/>
  <c r="W187" i="4"/>
  <c r="W188" i="4"/>
  <c r="W182" i="4"/>
  <c r="W183" i="4"/>
  <c r="W144" i="4"/>
  <c r="W184" i="4"/>
  <c r="W143" i="4"/>
  <c r="Y186" i="4"/>
  <c r="Y181" i="4"/>
  <c r="W166" i="4"/>
  <c r="W165" i="4"/>
  <c r="W164" i="4"/>
  <c r="W161" i="4"/>
  <c r="W160" i="4"/>
  <c r="W159" i="4"/>
  <c r="W157" i="4"/>
  <c r="W156" i="4"/>
  <c r="W155" i="4"/>
  <c r="W153" i="4"/>
  <c r="W152" i="4"/>
  <c r="W145" i="4"/>
  <c r="W142" i="4"/>
  <c r="W140" i="4"/>
  <c r="W139" i="4"/>
  <c r="W138" i="4"/>
  <c r="W137" i="4"/>
  <c r="W136" i="4"/>
  <c r="W135" i="4"/>
  <c r="W134" i="4"/>
  <c r="W131" i="4"/>
  <c r="W130" i="4"/>
  <c r="W129" i="4"/>
  <c r="W127" i="4"/>
  <c r="R126" i="4" s="1"/>
  <c r="W124" i="4"/>
  <c r="W189" i="4"/>
  <c r="W103" i="4"/>
  <c r="W102" i="4"/>
  <c r="W101" i="4"/>
  <c r="W100" i="4"/>
  <c r="W99" i="4"/>
  <c r="W98" i="4"/>
  <c r="W97" i="4"/>
  <c r="W95" i="4"/>
  <c r="W94" i="4"/>
  <c r="W93" i="4"/>
  <c r="W92" i="4"/>
  <c r="W90" i="4"/>
  <c r="W89" i="4"/>
  <c r="W87" i="4"/>
  <c r="W86" i="4"/>
  <c r="W85" i="4"/>
  <c r="W83" i="4"/>
  <c r="W82" i="4"/>
  <c r="W81" i="4"/>
  <c r="W79" i="4"/>
  <c r="W78" i="4"/>
  <c r="W77" i="4"/>
  <c r="W76" i="4"/>
  <c r="W75" i="4"/>
  <c r="W24" i="4"/>
  <c r="W23" i="4"/>
  <c r="N195" i="4"/>
  <c r="M195" i="4"/>
  <c r="N192" i="4"/>
  <c r="Y96" i="4"/>
  <c r="Y91" i="4"/>
  <c r="N88" i="4"/>
  <c r="Y88" i="4" s="1"/>
  <c r="M88" i="4"/>
  <c r="Y84" i="4"/>
  <c r="Y80" i="4"/>
  <c r="Y74" i="4"/>
  <c r="Y51" i="4"/>
  <c r="Y50" i="4"/>
  <c r="Y49" i="4"/>
  <c r="N35" i="4"/>
  <c r="M35" i="4"/>
  <c r="N22" i="4"/>
  <c r="M22" i="4"/>
  <c r="N19" i="4"/>
  <c r="M19" i="4"/>
  <c r="N15" i="4"/>
  <c r="M15" i="4"/>
  <c r="N13" i="4"/>
  <c r="M13" i="4"/>
  <c r="N11" i="4"/>
  <c r="M11" i="4"/>
  <c r="Y103" i="4"/>
  <c r="Y102" i="4"/>
  <c r="Y101" i="4"/>
  <c r="Y100" i="4"/>
  <c r="Y99" i="4"/>
  <c r="Y98" i="4"/>
  <c r="Y97" i="4"/>
  <c r="Y95" i="4"/>
  <c r="Y94" i="4"/>
  <c r="Y93" i="4"/>
  <c r="Y92" i="4"/>
  <c r="Y90" i="4"/>
  <c r="Y89" i="4"/>
  <c r="Y87" i="4"/>
  <c r="Y86" i="4"/>
  <c r="Y85" i="4"/>
  <c r="Y83" i="4"/>
  <c r="Y82" i="4"/>
  <c r="Y81" i="4"/>
  <c r="Y79" i="4"/>
  <c r="Y78" i="4"/>
  <c r="Y77" i="4"/>
  <c r="Y76" i="4"/>
  <c r="Y75" i="4"/>
  <c r="Y23" i="4"/>
  <c r="X23" i="4"/>
  <c r="Y24" i="4"/>
  <c r="X24" i="4"/>
  <c r="U35" i="4" l="1"/>
  <c r="N105" i="4"/>
  <c r="U25" i="4"/>
  <c r="R25" i="4"/>
  <c r="R35" i="4"/>
  <c r="U30" i="4"/>
  <c r="U22" i="4"/>
  <c r="X281" i="4"/>
  <c r="X280" i="4" s="1"/>
  <c r="N262" i="4"/>
  <c r="Y262" i="4" s="1"/>
  <c r="L281" i="4"/>
  <c r="Y238" i="4"/>
  <c r="N221" i="4"/>
  <c r="Y221" i="4" s="1"/>
  <c r="L55" i="4"/>
  <c r="R167" i="4"/>
  <c r="L222" i="4"/>
  <c r="M21" i="4"/>
  <c r="Y222" i="4"/>
  <c r="N21" i="4"/>
  <c r="M105" i="4"/>
  <c r="L263" i="4"/>
  <c r="M262" i="4"/>
  <c r="L238" i="4"/>
  <c r="M237" i="4"/>
  <c r="R222" i="4"/>
  <c r="W222" i="4" s="1"/>
  <c r="R200" i="4"/>
  <c r="W200" i="4" s="1"/>
  <c r="R281" i="4"/>
  <c r="W281" i="4" s="1"/>
  <c r="Z282" i="4"/>
  <c r="L200" i="4"/>
  <c r="R263" i="4"/>
  <c r="W263" i="4" s="1"/>
  <c r="R238" i="4"/>
  <c r="W238" i="4" s="1"/>
  <c r="R257" i="4"/>
  <c r="W257" i="4" s="1"/>
  <c r="R128" i="4"/>
  <c r="R52" i="4"/>
  <c r="W52" i="4" s="1"/>
  <c r="R55" i="4"/>
  <c r="W55" i="4" s="1"/>
  <c r="R30" i="4"/>
  <c r="R22" i="4"/>
  <c r="R107" i="4"/>
  <c r="Y118" i="4"/>
  <c r="L125" i="4"/>
  <c r="Y132" i="4"/>
  <c r="M191" i="4"/>
  <c r="Y195" i="4"/>
  <c r="X30" i="4"/>
  <c r="R141" i="4"/>
  <c r="W141" i="4" s="1"/>
  <c r="Y192" i="4"/>
  <c r="N191" i="4"/>
  <c r="Y191" i="4" s="1"/>
  <c r="Y197" i="4"/>
  <c r="X22" i="4"/>
  <c r="Y22" i="4"/>
  <c r="M146" i="4"/>
  <c r="X25" i="4"/>
  <c r="R84" i="4"/>
  <c r="W84" i="4" s="1"/>
  <c r="R151" i="4"/>
  <c r="R158" i="4"/>
  <c r="R74" i="4"/>
  <c r="W74" i="4" s="1"/>
  <c r="R163" i="4"/>
  <c r="R154" i="4"/>
  <c r="R133" i="4"/>
  <c r="R119" i="4"/>
  <c r="R114" i="4"/>
  <c r="R96" i="4"/>
  <c r="W96" i="4" s="1"/>
  <c r="R91" i="4"/>
  <c r="W91" i="4" s="1"/>
  <c r="R88" i="4"/>
  <c r="W88" i="4" s="1"/>
  <c r="R80" i="4"/>
  <c r="W80" i="4" s="1"/>
  <c r="L22" i="4"/>
  <c r="L43" i="4"/>
  <c r="L96" i="4"/>
  <c r="L88" i="4"/>
  <c r="L91" i="4"/>
  <c r="L35" i="4"/>
  <c r="L74" i="4"/>
  <c r="L80" i="4"/>
  <c r="L84" i="4"/>
  <c r="Z34" i="4"/>
  <c r="Z38" i="4"/>
  <c r="Z37" i="4"/>
  <c r="Z31" i="4"/>
  <c r="Z36" i="4"/>
  <c r="Z33" i="4"/>
  <c r="Z32" i="4"/>
  <c r="Z29" i="4"/>
  <c r="Z28" i="4"/>
  <c r="Z26" i="4"/>
  <c r="L181" i="4"/>
  <c r="L141" i="4"/>
  <c r="L186" i="4"/>
  <c r="L195" i="4"/>
  <c r="L132" i="4"/>
  <c r="L192" i="4"/>
  <c r="L197" i="4"/>
  <c r="L106" i="4"/>
  <c r="L118" i="4"/>
  <c r="L147" i="4"/>
  <c r="Y141" i="4"/>
  <c r="Y125" i="4"/>
  <c r="Y147" i="4"/>
  <c r="Y106" i="4"/>
  <c r="Y105" i="4"/>
  <c r="Z23" i="4"/>
  <c r="N73" i="4"/>
  <c r="W49" i="4"/>
  <c r="N180" i="4"/>
  <c r="Y180" i="4" s="1"/>
  <c r="W51" i="4"/>
  <c r="W50" i="4"/>
  <c r="M180" i="4"/>
  <c r="M73" i="4"/>
  <c r="N10" i="4"/>
  <c r="Y10" i="4" s="1"/>
  <c r="M10" i="4"/>
  <c r="Z24" i="4"/>
  <c r="W199" i="4"/>
  <c r="W196" i="4"/>
  <c r="W194" i="4"/>
  <c r="W193" i="4"/>
  <c r="W190" i="4"/>
  <c r="W185" i="4"/>
  <c r="W162" i="4"/>
  <c r="W126" i="4"/>
  <c r="W112" i="4"/>
  <c r="Y48" i="4"/>
  <c r="Y47" i="4"/>
  <c r="Y46" i="4"/>
  <c r="Y45" i="4"/>
  <c r="W45" i="4"/>
  <c r="Y44" i="4"/>
  <c r="W44" i="4"/>
  <c r="Y43" i="4"/>
  <c r="Y35" i="4"/>
  <c r="Y20" i="4"/>
  <c r="X20" i="4"/>
  <c r="W20" i="4"/>
  <c r="R19" i="4" s="1"/>
  <c r="L20" i="4"/>
  <c r="Y19" i="4"/>
  <c r="L19" i="4"/>
  <c r="Y17" i="4"/>
  <c r="X17" i="4"/>
  <c r="R17" i="4"/>
  <c r="W17" i="4" s="1"/>
  <c r="L17" i="4"/>
  <c r="Y16" i="4"/>
  <c r="X16" i="4"/>
  <c r="R16" i="4"/>
  <c r="W16" i="4" s="1"/>
  <c r="L16" i="4"/>
  <c r="Y15" i="4"/>
  <c r="L15" i="4"/>
  <c r="Y14" i="4"/>
  <c r="V14" i="4"/>
  <c r="X14" i="4" s="1"/>
  <c r="R14" i="4"/>
  <c r="L14" i="4"/>
  <c r="L13" i="4"/>
  <c r="Y12" i="4"/>
  <c r="V12" i="4"/>
  <c r="X12" i="4" s="1"/>
  <c r="U11" i="4" s="1"/>
  <c r="X11" i="4" s="1"/>
  <c r="R12" i="4"/>
  <c r="L12" i="4"/>
  <c r="Y11" i="4"/>
  <c r="L11" i="4"/>
  <c r="T10" i="4"/>
  <c r="T9" i="4" s="1"/>
  <c r="S10" i="4"/>
  <c r="O8" i="10" l="1" a="1"/>
  <c r="O8" i="10" s="1"/>
  <c r="O7" i="10" a="1"/>
  <c r="O7" i="10" s="1"/>
  <c r="O6" i="10" a="1"/>
  <c r="O6" i="10" s="1"/>
  <c r="X279" i="4"/>
  <c r="Z280" i="4"/>
  <c r="Z281" i="4"/>
  <c r="L262" i="4"/>
  <c r="M18" i="4"/>
  <c r="Y21" i="4"/>
  <c r="Y73" i="4"/>
  <c r="N18" i="4"/>
  <c r="Y18" i="4" s="1"/>
  <c r="N104" i="4"/>
  <c r="Y104" i="4" s="1"/>
  <c r="M104" i="4"/>
  <c r="L237" i="4"/>
  <c r="M221" i="4"/>
  <c r="L221" i="4" s="1"/>
  <c r="R237" i="4"/>
  <c r="W237" i="4" s="1"/>
  <c r="L8" i="10" s="1" a="1"/>
  <c r="L8" i="10" s="1"/>
  <c r="R262" i="4"/>
  <c r="W262" i="4" s="1"/>
  <c r="W128" i="4"/>
  <c r="W163" i="4"/>
  <c r="W22" i="4"/>
  <c r="Z22" i="4" s="1"/>
  <c r="W119" i="4"/>
  <c r="R118" i="4" s="1"/>
  <c r="W158" i="4"/>
  <c r="L146" i="4"/>
  <c r="W133" i="4"/>
  <c r="W151" i="4"/>
  <c r="R43" i="4"/>
  <c r="W107" i="4"/>
  <c r="Y167" i="4"/>
  <c r="Y146" i="4"/>
  <c r="U19" i="4"/>
  <c r="X19" i="4" s="1"/>
  <c r="Y30" i="4"/>
  <c r="W114" i="4"/>
  <c r="Y42" i="4"/>
  <c r="L30" i="4"/>
  <c r="W154" i="4"/>
  <c r="L25" i="4"/>
  <c r="R197" i="4"/>
  <c r="R195" i="4"/>
  <c r="R192" i="4"/>
  <c r="W192" i="4" s="1"/>
  <c r="R186" i="4"/>
  <c r="W186" i="4" s="1"/>
  <c r="R181" i="4"/>
  <c r="W181" i="4" s="1"/>
  <c r="R73" i="4"/>
  <c r="W73" i="4" s="1"/>
  <c r="L73" i="4"/>
  <c r="L42" i="4"/>
  <c r="L180" i="4"/>
  <c r="L105" i="4"/>
  <c r="L191" i="4"/>
  <c r="L167" i="4"/>
  <c r="W14" i="4"/>
  <c r="Z14" i="4" s="1"/>
  <c r="L10" i="4"/>
  <c r="W48" i="4"/>
  <c r="W47" i="4"/>
  <c r="Z20" i="4"/>
  <c r="W19" i="4"/>
  <c r="L21" i="4"/>
  <c r="X35" i="4"/>
  <c r="U21" i="4" s="1"/>
  <c r="U13" i="4"/>
  <c r="X13" i="4" s="1"/>
  <c r="W12" i="4"/>
  <c r="Z17" i="4"/>
  <c r="Z16" i="4"/>
  <c r="R15" i="4"/>
  <c r="W15" i="4" s="1"/>
  <c r="U15" i="4"/>
  <c r="X15" i="4" s="1"/>
  <c r="S9" i="4"/>
  <c r="L7" i="10" l="1" a="1"/>
  <c r="L7" i="10" s="1"/>
  <c r="L6" i="10" a="1"/>
  <c r="L6" i="10" s="1"/>
  <c r="X21" i="4"/>
  <c r="X278" i="4"/>
  <c r="U277" i="4" s="1"/>
  <c r="Z279" i="4"/>
  <c r="M9" i="4"/>
  <c r="N9" i="4"/>
  <c r="Y9" i="4" s="1"/>
  <c r="R221" i="4"/>
  <c r="W221" i="4" s="1"/>
  <c r="R125" i="4"/>
  <c r="W125" i="4" s="1"/>
  <c r="W43" i="4"/>
  <c r="W118" i="4"/>
  <c r="R147" i="4"/>
  <c r="W147" i="4" s="1"/>
  <c r="R132" i="4"/>
  <c r="Y25" i="4"/>
  <c r="W35" i="4"/>
  <c r="Z35" i="4" s="1"/>
  <c r="R106" i="4"/>
  <c r="W195" i="4"/>
  <c r="W197" i="4"/>
  <c r="R46" i="4"/>
  <c r="R180" i="4"/>
  <c r="W180" i="4" s="1"/>
  <c r="Z19" i="4"/>
  <c r="L104" i="4"/>
  <c r="W30" i="4"/>
  <c r="L18" i="4"/>
  <c r="R13" i="4"/>
  <c r="W13" i="4" s="1"/>
  <c r="U10" i="4"/>
  <c r="X10" i="4" s="1"/>
  <c r="Z12" i="4"/>
  <c r="R11" i="4"/>
  <c r="W11" i="4" s="1"/>
  <c r="Z15" i="4"/>
  <c r="X277" i="4" l="1"/>
  <c r="U276" i="4" s="1"/>
  <c r="Z278" i="4"/>
  <c r="L9" i="4"/>
  <c r="W132" i="4"/>
  <c r="R146" i="4"/>
  <c r="W46" i="4"/>
  <c r="R42" i="4" s="1"/>
  <c r="W167" i="4"/>
  <c r="R191" i="4"/>
  <c r="W191" i="4" s="1"/>
  <c r="W106" i="4"/>
  <c r="R105" i="4" s="1"/>
  <c r="Z30" i="4"/>
  <c r="W25" i="4"/>
  <c r="R10" i="4"/>
  <c r="W10" i="4" s="1"/>
  <c r="Z11" i="4"/>
  <c r="X276" i="4" l="1"/>
  <c r="Z277" i="4"/>
  <c r="W146" i="4"/>
  <c r="W42" i="4"/>
  <c r="Z25" i="4"/>
  <c r="R21" i="4"/>
  <c r="Z10" i="4"/>
  <c r="X275" i="4" l="1"/>
  <c r="Z276" i="4"/>
  <c r="F7" i="10" a="1"/>
  <c r="F7" i="10" s="1"/>
  <c r="F6" i="10" a="1"/>
  <c r="F6" i="10" s="1"/>
  <c r="W21" i="4"/>
  <c r="F8" i="10" s="1" a="1"/>
  <c r="F8" i="10" s="1"/>
  <c r="W105" i="4"/>
  <c r="R104" i="4" l="1"/>
  <c r="I6" i="10" a="1"/>
  <c r="I6" i="10" s="1"/>
  <c r="I8" i="10" a="1"/>
  <c r="I8" i="10" s="1"/>
  <c r="I7" i="10" a="1"/>
  <c r="I7" i="10" s="1"/>
  <c r="X274" i="4"/>
  <c r="Z275" i="4"/>
  <c r="Z21" i="4"/>
  <c r="R18" i="4"/>
  <c r="W18" i="4" s="1"/>
  <c r="W104" i="4"/>
  <c r="X273" i="4" l="1"/>
  <c r="U272" i="4" s="1"/>
  <c r="Z274" i="4"/>
  <c r="R9" i="4"/>
  <c r="X272" i="4" l="1"/>
  <c r="Z273" i="4"/>
  <c r="W9" i="4"/>
  <c r="U5" i="4"/>
  <c r="X271" i="4" l="1"/>
  <c r="Z272" i="4"/>
  <c r="X270" i="4" l="1"/>
  <c r="Z271" i="4"/>
  <c r="X269" i="4" l="1"/>
  <c r="U268" i="4" s="1"/>
  <c r="Z270" i="4"/>
  <c r="X268" i="4" l="1"/>
  <c r="Z269" i="4"/>
  <c r="X267" i="4" l="1"/>
  <c r="Z268" i="4"/>
  <c r="X266" i="4" l="1"/>
  <c r="Z267" i="4"/>
  <c r="X265" i="4" l="1"/>
  <c r="U264" i="4" s="1"/>
  <c r="Z266" i="4"/>
  <c r="X264" i="4" l="1"/>
  <c r="U263" i="4" s="1"/>
  <c r="Z265" i="4"/>
  <c r="X263" i="4" l="1"/>
  <c r="U262" i="4" s="1"/>
  <c r="Z264" i="4"/>
  <c r="X262" i="4" l="1"/>
  <c r="N6" i="10" a="1"/>
  <c r="N6" i="10" s="1"/>
  <c r="P6" i="10" s="1"/>
  <c r="N7" i="10" a="1"/>
  <c r="N7" i="10" s="1"/>
  <c r="P7" i="10" s="1"/>
  <c r="N8" i="10" a="1"/>
  <c r="N8" i="10" s="1"/>
  <c r="P8" i="10" s="1"/>
  <c r="Z263" i="4"/>
  <c r="X261" i="4" l="1"/>
  <c r="Z262" i="4"/>
  <c r="X260" i="4" l="1"/>
  <c r="Z261" i="4"/>
  <c r="X259" i="4" l="1"/>
  <c r="U258" i="4" s="1"/>
  <c r="Z260" i="4"/>
  <c r="X258" i="4" l="1"/>
  <c r="U257" i="4" s="1"/>
  <c r="Z259" i="4"/>
  <c r="X257" i="4" l="1"/>
  <c r="Z258" i="4"/>
  <c r="X256" i="4" l="1"/>
  <c r="Z257" i="4"/>
  <c r="X255" i="4" l="1"/>
  <c r="Z256" i="4"/>
  <c r="X254" i="4" l="1"/>
  <c r="U253" i="4" s="1"/>
  <c r="Z255" i="4"/>
  <c r="X253" i="4" l="1"/>
  <c r="Z254" i="4"/>
  <c r="X252" i="4" l="1"/>
  <c r="Z253" i="4"/>
  <c r="X251" i="4" l="1"/>
  <c r="Z252" i="4"/>
  <c r="X250" i="4" l="1"/>
  <c r="Z251" i="4"/>
  <c r="X249" i="4" l="1"/>
  <c r="U248" i="4" s="1"/>
  <c r="Z250" i="4"/>
  <c r="X248" i="4" l="1"/>
  <c r="Z249" i="4"/>
  <c r="X247" i="4" l="1"/>
  <c r="Z248" i="4"/>
  <c r="X246" i="4" l="1"/>
  <c r="U245" i="4" s="1"/>
  <c r="Z247" i="4"/>
  <c r="X245" i="4" l="1"/>
  <c r="Z246" i="4"/>
  <c r="X244" i="4" l="1"/>
  <c r="Z245" i="4"/>
  <c r="X243" i="4" l="1"/>
  <c r="U242" i="4" s="1"/>
  <c r="Z244" i="4"/>
  <c r="X242" i="4" l="1"/>
  <c r="Z243" i="4"/>
  <c r="X241" i="4" l="1"/>
  <c r="Z242" i="4"/>
  <c r="X240" i="4" l="1"/>
  <c r="U239" i="4" s="1"/>
  <c r="Z241" i="4"/>
  <c r="X239" i="4" l="1"/>
  <c r="U238" i="4" s="1"/>
  <c r="Z240" i="4"/>
  <c r="X238" i="4" l="1"/>
  <c r="U237" i="4" s="1"/>
  <c r="Z239" i="4"/>
  <c r="X237" i="4" l="1"/>
  <c r="Z238" i="4"/>
  <c r="X236" i="4" l="1"/>
  <c r="U235" i="4" s="1"/>
  <c r="Z237" i="4"/>
  <c r="X235" i="4" l="1"/>
  <c r="Z236" i="4"/>
  <c r="X234" i="4" l="1"/>
  <c r="Z235" i="4"/>
  <c r="X233" i="4" l="1"/>
  <c r="Z234" i="4"/>
  <c r="X232" i="4" l="1"/>
  <c r="U231" i="4" s="1"/>
  <c r="Z233" i="4"/>
  <c r="X231" i="4" l="1"/>
  <c r="Z232" i="4"/>
  <c r="X230" i="4" l="1"/>
  <c r="Z231" i="4"/>
  <c r="X229" i="4" l="1"/>
  <c r="Z230" i="4"/>
  <c r="X228" i="4" l="1"/>
  <c r="U227" i="4" s="1"/>
  <c r="Z229" i="4"/>
  <c r="X227" i="4" l="1"/>
  <c r="Z228" i="4"/>
  <c r="X226" i="4" l="1"/>
  <c r="Z227" i="4"/>
  <c r="X225" i="4" l="1"/>
  <c r="Z226" i="4"/>
  <c r="X224" i="4" l="1"/>
  <c r="U223" i="4" s="1"/>
  <c r="Z225" i="4"/>
  <c r="X223" i="4" l="1"/>
  <c r="U222" i="4" s="1"/>
  <c r="Z224" i="4"/>
  <c r="X222" i="4" l="1"/>
  <c r="U221" i="4" s="1"/>
  <c r="Z223" i="4"/>
  <c r="K7" i="10" l="1" a="1"/>
  <c r="K7" i="10" s="1"/>
  <c r="M7" i="10" s="1"/>
  <c r="K6" i="10" a="1"/>
  <c r="K6" i="10" s="1"/>
  <c r="M6" i="10" s="1"/>
  <c r="X221" i="4"/>
  <c r="K8" i="10" a="1"/>
  <c r="K8" i="10" s="1"/>
  <c r="M8" i="10" s="1"/>
  <c r="Z222" i="4"/>
  <c r="X220" i="4" l="1"/>
  <c r="Z221" i="4"/>
  <c r="X219" i="4" l="1"/>
  <c r="Z220" i="4"/>
  <c r="X218" i="4" l="1"/>
  <c r="U217" i="4" s="1"/>
  <c r="Z219" i="4"/>
  <c r="X217" i="4" l="1"/>
  <c r="Z218" i="4"/>
  <c r="X216" i="4" l="1"/>
  <c r="Z217" i="4"/>
  <c r="X215" i="4" l="1"/>
  <c r="Z216" i="4"/>
  <c r="X214" i="4" l="1"/>
  <c r="U213" i="4" s="1"/>
  <c r="Z215" i="4"/>
  <c r="X213" i="4" l="1"/>
  <c r="Z214" i="4"/>
  <c r="X212" i="4" l="1"/>
  <c r="Z213" i="4"/>
  <c r="X211" i="4" l="1"/>
  <c r="Z212" i="4"/>
  <c r="X210" i="4" l="1"/>
  <c r="U209" i="4" s="1"/>
  <c r="Z211" i="4"/>
  <c r="X209" i="4" l="1"/>
  <c r="Z210" i="4"/>
  <c r="X208" i="4" l="1"/>
  <c r="Z209" i="4"/>
  <c r="X207" i="4" l="1"/>
  <c r="Z208" i="4"/>
  <c r="X206" i="4" l="1"/>
  <c r="U205" i="4" s="1"/>
  <c r="Z207" i="4"/>
  <c r="X205" i="4" l="1"/>
  <c r="Z206" i="4"/>
  <c r="X204" i="4" l="1"/>
  <c r="Z205" i="4"/>
  <c r="X203" i="4" l="1"/>
  <c r="Z204" i="4"/>
  <c r="X202" i="4" l="1"/>
  <c r="U201" i="4" s="1"/>
  <c r="Z203" i="4"/>
  <c r="X201" i="4" l="1"/>
  <c r="U200" i="4" s="1"/>
  <c r="Z202" i="4"/>
  <c r="X200" i="4" l="1"/>
  <c r="Z201" i="4"/>
  <c r="X199" i="4" l="1"/>
  <c r="Z200" i="4"/>
  <c r="X198" i="4" l="1"/>
  <c r="U197" i="4" s="1"/>
  <c r="Z199" i="4"/>
  <c r="X197" i="4" l="1"/>
  <c r="Z198" i="4"/>
  <c r="X196" i="4" l="1"/>
  <c r="U195" i="4" s="1"/>
  <c r="Z197" i="4"/>
  <c r="X195" i="4" l="1"/>
  <c r="Z196" i="4"/>
  <c r="X194" i="4" l="1"/>
  <c r="Z195" i="4"/>
  <c r="X193" i="4" l="1"/>
  <c r="U192" i="4" s="1"/>
  <c r="Z194" i="4"/>
  <c r="X192" i="4" l="1"/>
  <c r="U191" i="4" s="1"/>
  <c r="Z193" i="4"/>
  <c r="X191" i="4" l="1"/>
  <c r="Z192" i="4"/>
  <c r="X190" i="4" l="1"/>
  <c r="Z191" i="4"/>
  <c r="X189" i="4" l="1"/>
  <c r="Z190" i="4"/>
  <c r="X188" i="4" l="1"/>
  <c r="Z189" i="4"/>
  <c r="X187" i="4" l="1"/>
  <c r="U186" i="4" s="1"/>
  <c r="Z188" i="4"/>
  <c r="X186" i="4" l="1"/>
  <c r="Z187" i="4"/>
  <c r="X185" i="4" l="1"/>
  <c r="Z186" i="4"/>
  <c r="X184" i="4" l="1"/>
  <c r="Z185" i="4"/>
  <c r="X183" i="4" l="1"/>
  <c r="Z184" i="4"/>
  <c r="X182" i="4" l="1"/>
  <c r="U181" i="4" s="1"/>
  <c r="Z183" i="4"/>
  <c r="X181" i="4" l="1"/>
  <c r="U180" i="4" s="1"/>
  <c r="Z182" i="4"/>
  <c r="X180" i="4" l="1"/>
  <c r="Z181" i="4"/>
  <c r="X179" i="4" l="1"/>
  <c r="Z180" i="4"/>
  <c r="X178" i="4" l="1"/>
  <c r="U177" i="4" s="1"/>
  <c r="Z179" i="4"/>
  <c r="X177" i="4" l="1"/>
  <c r="Z178" i="4"/>
  <c r="X176" i="4" l="1"/>
  <c r="Z177" i="4"/>
  <c r="X175" i="4" l="1"/>
  <c r="U174" i="4" s="1"/>
  <c r="Z176" i="4"/>
  <c r="X174" i="4" l="1"/>
  <c r="Z175" i="4"/>
  <c r="X173" i="4" l="1"/>
  <c r="U172" i="4" s="1"/>
  <c r="Z174" i="4"/>
  <c r="X172" i="4" l="1"/>
  <c r="Z173" i="4"/>
  <c r="X171" i="4" l="1"/>
  <c r="Z172" i="4"/>
  <c r="X170" i="4" l="1"/>
  <c r="U169" i="4" s="1"/>
  <c r="Z171" i="4"/>
  <c r="X169" i="4" l="1"/>
  <c r="U168" i="4" s="1"/>
  <c r="Z170" i="4"/>
  <c r="Z169" i="4" l="1"/>
  <c r="X168" i="4"/>
  <c r="U167" i="4" s="1"/>
  <c r="X167" i="4" l="1"/>
  <c r="Z168" i="4"/>
  <c r="X166" i="4" l="1"/>
  <c r="Z167" i="4"/>
  <c r="X165" i="4" l="1"/>
  <c r="Z166" i="4"/>
  <c r="X164" i="4" l="1"/>
  <c r="U163" i="4" s="1"/>
  <c r="Z165" i="4"/>
  <c r="X163" i="4" l="1"/>
  <c r="Z164" i="4"/>
  <c r="X162" i="4" l="1"/>
  <c r="Z163" i="4"/>
  <c r="X161" i="4" l="1"/>
  <c r="Z162" i="4"/>
  <c r="X160" i="4" l="1"/>
  <c r="Z161" i="4"/>
  <c r="X159" i="4" l="1"/>
  <c r="U158" i="4" s="1"/>
  <c r="Z160" i="4"/>
  <c r="X158" i="4" l="1"/>
  <c r="Z159" i="4"/>
  <c r="X157" i="4" l="1"/>
  <c r="Z158" i="4"/>
  <c r="X156" i="4" l="1"/>
  <c r="Z157" i="4"/>
  <c r="X155" i="4" l="1"/>
  <c r="U154" i="4" s="1"/>
  <c r="Z156" i="4"/>
  <c r="X154" i="4" l="1"/>
  <c r="Z155" i="4"/>
  <c r="X153" i="4" l="1"/>
  <c r="Z154" i="4"/>
  <c r="X152" i="4" l="1"/>
  <c r="U151" i="4" s="1"/>
  <c r="Z153" i="4"/>
  <c r="X151" i="4" l="1"/>
  <c r="Z152" i="4"/>
  <c r="X150" i="4" l="1"/>
  <c r="Z151" i="4"/>
  <c r="X149" i="4" l="1"/>
  <c r="U148" i="4" s="1"/>
  <c r="Z150" i="4"/>
  <c r="X148" i="4" l="1"/>
  <c r="U147" i="4" s="1"/>
  <c r="Z149" i="4"/>
  <c r="Z148" i="4" l="1"/>
  <c r="X147" i="4"/>
  <c r="U146" i="4" s="1"/>
  <c r="X146" i="4" l="1"/>
  <c r="Z147" i="4"/>
  <c r="X145" i="4" l="1"/>
  <c r="Z146" i="4"/>
  <c r="X144" i="4" l="1"/>
  <c r="Z145" i="4"/>
  <c r="X143" i="4" l="1"/>
  <c r="Z144" i="4"/>
  <c r="X142" i="4" l="1"/>
  <c r="U141" i="4" s="1"/>
  <c r="Z143" i="4"/>
  <c r="X141" i="4" l="1"/>
  <c r="Z142" i="4"/>
  <c r="X140" i="4" l="1"/>
  <c r="Z141" i="4"/>
  <c r="X139" i="4" l="1"/>
  <c r="Z140" i="4"/>
  <c r="X138" i="4" l="1"/>
  <c r="Z139" i="4"/>
  <c r="X137" i="4" l="1"/>
  <c r="Z138" i="4"/>
  <c r="X136" i="4" l="1"/>
  <c r="Z137" i="4"/>
  <c r="X135" i="4" l="1"/>
  <c r="Z136" i="4"/>
  <c r="X134" i="4" l="1"/>
  <c r="U133" i="4" s="1"/>
  <c r="Z135" i="4"/>
  <c r="X133" i="4" l="1"/>
  <c r="U132" i="4" s="1"/>
  <c r="Z134" i="4"/>
  <c r="X132" i="4" l="1"/>
  <c r="Z133" i="4"/>
  <c r="X131" i="4" l="1"/>
  <c r="Z132" i="4"/>
  <c r="X130" i="4" l="1"/>
  <c r="Z131" i="4"/>
  <c r="X129" i="4" l="1"/>
  <c r="U128" i="4" s="1"/>
  <c r="Z130" i="4"/>
  <c r="X128" i="4" l="1"/>
  <c r="Z129" i="4"/>
  <c r="X127" i="4" l="1"/>
  <c r="U126" i="4" s="1"/>
  <c r="Z128" i="4"/>
  <c r="X126" i="4" l="1"/>
  <c r="U125" i="4" s="1"/>
  <c r="Z127" i="4"/>
  <c r="X125" i="4" l="1"/>
  <c r="Z126" i="4"/>
  <c r="X124" i="4" l="1"/>
  <c r="Z125" i="4"/>
  <c r="X123" i="4" l="1"/>
  <c r="Z124" i="4"/>
  <c r="X122" i="4" l="1"/>
  <c r="Z123" i="4"/>
  <c r="X121" i="4" l="1"/>
  <c r="Z122" i="4"/>
  <c r="X120" i="4" l="1"/>
  <c r="U119" i="4" s="1"/>
  <c r="Z121" i="4"/>
  <c r="X119" i="4" l="1"/>
  <c r="U118" i="4" s="1"/>
  <c r="Z120" i="4"/>
  <c r="X118" i="4" l="1"/>
  <c r="Z119" i="4"/>
  <c r="X117" i="4" l="1"/>
  <c r="Z118" i="4"/>
  <c r="X116" i="4" l="1"/>
  <c r="Z117" i="4"/>
  <c r="X115" i="4" l="1"/>
  <c r="U114" i="4" s="1"/>
  <c r="Z116" i="4"/>
  <c r="X114" i="4" l="1"/>
  <c r="Z115" i="4"/>
  <c r="X113" i="4" l="1"/>
  <c r="U112" i="4" s="1"/>
  <c r="Z114" i="4"/>
  <c r="X112" i="4" l="1"/>
  <c r="Z113" i="4"/>
  <c r="X111" i="4" l="1"/>
  <c r="Z112" i="4"/>
  <c r="X110" i="4" l="1"/>
  <c r="Z111" i="4"/>
  <c r="X109" i="4" l="1"/>
  <c r="Z110" i="4"/>
  <c r="X108" i="4" l="1"/>
  <c r="U107" i="4" s="1"/>
  <c r="Z109" i="4"/>
  <c r="X107" i="4" l="1"/>
  <c r="U106" i="4" s="1"/>
  <c r="Z108" i="4"/>
  <c r="X106" i="4" l="1"/>
  <c r="U105" i="4" s="1"/>
  <c r="Z107" i="4"/>
  <c r="X105" i="4" l="1"/>
  <c r="U104" i="4" s="1"/>
  <c r="Z106" i="4"/>
  <c r="H7" i="10" l="1" a="1"/>
  <c r="H7" i="10" s="1"/>
  <c r="J7" i="10" s="1"/>
  <c r="X104" i="4"/>
  <c r="H6" i="10" a="1"/>
  <c r="H6" i="10" s="1"/>
  <c r="J6" i="10" s="1"/>
  <c r="H8" i="10" a="1"/>
  <c r="H8" i="10" s="1"/>
  <c r="J8" i="10" s="1"/>
  <c r="Z105" i="4"/>
  <c r="X103" i="4" l="1"/>
  <c r="Z104" i="4"/>
  <c r="X102" i="4" l="1"/>
  <c r="Z103" i="4"/>
  <c r="X101" i="4" l="1"/>
  <c r="Z102" i="4"/>
  <c r="X100" i="4" l="1"/>
  <c r="Z101" i="4"/>
  <c r="X99" i="4" l="1"/>
  <c r="Z100" i="4"/>
  <c r="X98" i="4" l="1"/>
  <c r="Z99" i="4"/>
  <c r="X97" i="4" l="1"/>
  <c r="U96" i="4" s="1"/>
  <c r="Z98" i="4"/>
  <c r="X96" i="4" l="1"/>
  <c r="Z97" i="4"/>
  <c r="X95" i="4" l="1"/>
  <c r="Z96" i="4"/>
  <c r="X94" i="4" l="1"/>
  <c r="Z95" i="4"/>
  <c r="X93" i="4" l="1"/>
  <c r="Z94" i="4"/>
  <c r="X92" i="4" l="1"/>
  <c r="U91" i="4" s="1"/>
  <c r="Z93" i="4"/>
  <c r="X91" i="4" l="1"/>
  <c r="Z92" i="4"/>
  <c r="X90" i="4" l="1"/>
  <c r="Z91" i="4"/>
  <c r="X89" i="4" l="1"/>
  <c r="U88" i="4" s="1"/>
  <c r="Z90" i="4"/>
  <c r="X88" i="4" l="1"/>
  <c r="Z89" i="4"/>
  <c r="X87" i="4" l="1"/>
  <c r="Z88" i="4"/>
  <c r="X86" i="4" l="1"/>
  <c r="Z87" i="4"/>
  <c r="X85" i="4" l="1"/>
  <c r="U84" i="4" s="1"/>
  <c r="Z86" i="4"/>
  <c r="X84" i="4" l="1"/>
  <c r="Z85" i="4"/>
  <c r="X83" i="4" l="1"/>
  <c r="Z84" i="4"/>
  <c r="X82" i="4" l="1"/>
  <c r="Z83" i="4"/>
  <c r="X81" i="4" l="1"/>
  <c r="U80" i="4" s="1"/>
  <c r="Z82" i="4"/>
  <c r="X80" i="4" l="1"/>
  <c r="Z81" i="4"/>
  <c r="X79" i="4" l="1"/>
  <c r="Z80" i="4"/>
  <c r="X78" i="4" l="1"/>
  <c r="Z79" i="4"/>
  <c r="X77" i="4" l="1"/>
  <c r="Z78" i="4"/>
  <c r="X76" i="4" l="1"/>
  <c r="Z77" i="4"/>
  <c r="X75" i="4" l="1"/>
  <c r="U74" i="4" s="1"/>
  <c r="Z76" i="4"/>
  <c r="X74" i="4" l="1"/>
  <c r="U73" i="4" s="1"/>
  <c r="Z75" i="4"/>
  <c r="X73" i="4" l="1"/>
  <c r="Z74" i="4"/>
  <c r="X72" i="4" l="1"/>
  <c r="Z73" i="4"/>
  <c r="X71" i="4" l="1"/>
  <c r="U70" i="4" s="1"/>
  <c r="Z72" i="4"/>
  <c r="X70" i="4" l="1"/>
  <c r="Z71" i="4"/>
  <c r="X69" i="4" l="1"/>
  <c r="Z70" i="4"/>
  <c r="X68" i="4" l="1"/>
  <c r="U67" i="4" s="1"/>
  <c r="Z69" i="4"/>
  <c r="X67" i="4" l="1"/>
  <c r="Z68" i="4"/>
  <c r="X66" i="4" l="1"/>
  <c r="Z67" i="4"/>
  <c r="X65" i="4" l="1"/>
  <c r="Z66" i="4"/>
  <c r="X64" i="4" l="1"/>
  <c r="Z65" i="4"/>
  <c r="Z64" i="4" l="1"/>
  <c r="X63" i="4"/>
  <c r="X62" i="4" l="1"/>
  <c r="Z63" i="4"/>
  <c r="X61" i="4" l="1"/>
  <c r="Z62" i="4"/>
  <c r="X60" i="4" l="1"/>
  <c r="U59" i="4" s="1"/>
  <c r="Z61" i="4"/>
  <c r="X59" i="4" l="1"/>
  <c r="Z60" i="4"/>
  <c r="X58" i="4" l="1"/>
  <c r="Z59" i="4"/>
  <c r="X57" i="4" l="1"/>
  <c r="U56" i="4" s="1"/>
  <c r="Z58" i="4"/>
  <c r="X56" i="4" l="1"/>
  <c r="U55" i="4" s="1"/>
  <c r="Z57" i="4"/>
  <c r="X55" i="4" l="1"/>
  <c r="Z56" i="4"/>
  <c r="Z55" i="4" l="1"/>
  <c r="X54" i="4"/>
  <c r="X53" i="4" l="1"/>
  <c r="U52" i="4" s="1"/>
  <c r="Z54" i="4"/>
  <c r="X52" i="4" l="1"/>
  <c r="Z53" i="4"/>
  <c r="X51" i="4" l="1"/>
  <c r="Z52" i="4"/>
  <c r="X50" i="4" l="1"/>
  <c r="Z51" i="4"/>
  <c r="X49" i="4" l="1"/>
  <c r="Z50" i="4"/>
  <c r="X48" i="4" l="1"/>
  <c r="Z49" i="4"/>
  <c r="X47" i="4" l="1"/>
  <c r="U46" i="4" s="1"/>
  <c r="Z48" i="4"/>
  <c r="X46" i="4" l="1"/>
  <c r="Z47" i="4"/>
  <c r="X45" i="4" l="1"/>
  <c r="Z46" i="4"/>
  <c r="X44" i="4" l="1"/>
  <c r="U43" i="4" s="1"/>
  <c r="Z45" i="4"/>
  <c r="Z44" i="4" l="1"/>
  <c r="X43" i="4"/>
  <c r="Z43" i="4" l="1"/>
  <c r="U42" i="4"/>
  <c r="X42" i="4" s="1"/>
  <c r="U18" i="4" l="1"/>
  <c r="X18" i="4" s="1"/>
  <c r="E6" i="10" a="1"/>
  <c r="E6" i="10" s="1"/>
  <c r="E8" i="10" a="1"/>
  <c r="E8" i="10" s="1"/>
  <c r="Z42" i="4"/>
  <c r="E7" i="10" a="1"/>
  <c r="E7" i="10" s="1"/>
  <c r="G8" i="10" l="1"/>
  <c r="Q8" i="10"/>
  <c r="G7" i="10"/>
  <c r="Q7" i="10"/>
  <c r="G6" i="10"/>
  <c r="Q6" i="10"/>
  <c r="U9" i="4"/>
  <c r="Z18" i="4"/>
  <c r="W5" i="4" l="1"/>
  <c r="Q5" i="4" s="1"/>
  <c r="X9" i="4"/>
  <c r="Z9" i="4" l="1"/>
  <c r="Y5" i="4"/>
  <c r="N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tc={886D0016-075B-48EA-92E0-045B02D6F0CB}</author>
  </authors>
  <commentList>
    <comment ref="E6" authorId="0" shapeId="0" xr:uid="{886D0016-075B-48EA-92E0-045B02D6F0CB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분석/설계 단계(행 19~103) 안에서, WBS Dep=2이면서 수행사가 핑거인 항목들의 실적(X열)을 합산한 뒤,
분석/설계의 프로젝트 내 비중(30%)을 곱한다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<sst xmlns="http://schemas.openxmlformats.org/spreadsheetml/2006/main" count="1489" uniqueCount="586">
  <si>
    <t>진척 현황판  ※ SPI : Schedule Perfomance Index : 일정성과지표</t>
  </si>
  <si>
    <t>가맹점 추천 서비스, 소비케어 서비스 앱 내 구현</t>
  </si>
  <si>
    <t xml:space="preserve">주차 및 편의정보 관리 개발 </t>
  </si>
  <si>
    <t>온누리상품권 홈페이지(누리집)</t>
  </si>
  <si>
    <t>통합테스트 1차(선행) 사전준비</t>
  </si>
  <si>
    <t xml:space="preserve">가맹점 개요 정보 관리 기능 개발 </t>
  </si>
  <si>
    <t>통합테스트 1차 결함조치/결과서</t>
  </si>
  <si>
    <t>온누리상품권 가맹 관리 시스템</t>
  </si>
  <si>
    <t>소비자 분석 시스템(선행) 구축</t>
  </si>
  <si>
    <t>온누리 가맹점 관리시스템 구축</t>
  </si>
  <si>
    <t>소비자 분석 시스템 구축(선행)</t>
  </si>
  <si>
    <t>가맹점 추천 서비스</t>
  </si>
  <si>
    <t>소비자 분석 시스템(선행)</t>
  </si>
  <si>
    <t>온누리 가맹점 관리시스템</t>
  </si>
  <si>
    <t>개인정보 영향평가 진단</t>
  </si>
  <si>
    <t>안정화(모니터링 및 결함 등 제거) - 온누리 상품권 홈페이지</t>
  </si>
  <si>
    <t>(1)내용 : 개정이 발생하는 페이지 번호와 변경 내용을 기술</t>
  </si>
  <si>
    <t>안정화(모니터링 및 결함 등 제거) - 소비자 분석 시스템</t>
  </si>
  <si>
    <t>안정화(모니터링 및 결함 등 제거) - 온누리 가맹점 관리시스템</t>
  </si>
  <si>
    <t>Project 3</t>
  </si>
  <si>
    <t>Project 3.2</t>
  </si>
  <si>
    <t>WBS Code</t>
  </si>
  <si>
    <t>프로젝트마감활동</t>
  </si>
  <si>
    <t>비고(산출물-예정)</t>
  </si>
  <si>
    <t>Project 3.3</t>
  </si>
  <si>
    <t>Project 1.2</t>
  </si>
  <si>
    <t>Project 2</t>
  </si>
  <si>
    <t>Project 2.3</t>
  </si>
  <si>
    <t>Project 3.1</t>
  </si>
  <si>
    <t>Project 1</t>
  </si>
  <si>
    <t>Project 4</t>
  </si>
  <si>
    <t>Project 3.4</t>
  </si>
  <si>
    <t>Project 2.4</t>
  </si>
  <si>
    <t>Project 1.3</t>
  </si>
  <si>
    <t>Project 4.1</t>
  </si>
  <si>
    <t>프로젝트계획수립</t>
  </si>
  <si>
    <t>업무별 테스크 추가</t>
  </si>
  <si>
    <t>사업수행계획수립</t>
  </si>
  <si>
    <t>분석/설계</t>
  </si>
  <si>
    <t>이행안정화</t>
  </si>
  <si>
    <r>
      <rPr>
        <b/>
        <sz val="12"/>
        <color rgb="FFFF0000"/>
        <rFont val="KoPubWorld돋움체 Medium"/>
        <family val="3"/>
        <charset val="129"/>
      </rPr>
      <t>*</t>
    </r>
    <r>
      <rPr>
        <b/>
        <sz val="12"/>
        <color rgb="FF000000"/>
        <rFont val="KoPubWorld돋움체 Medium"/>
        <family val="3"/>
        <charset val="129"/>
      </rPr>
      <t xml:space="preserve">기준일자 </t>
    </r>
  </si>
  <si>
    <t>공통 개발</t>
  </si>
  <si>
    <t>통합 테스트</t>
  </si>
  <si>
    <t>Date</t>
  </si>
  <si>
    <t>네트워크 구성</t>
  </si>
  <si>
    <t>성능 테스트</t>
  </si>
  <si>
    <t>보안취약점점검</t>
  </si>
  <si>
    <t>운영환경 구축</t>
  </si>
  <si>
    <t>운영자 교육</t>
  </si>
  <si>
    <t>운영계획수립</t>
  </si>
  <si>
    <t>단계말검토</t>
  </si>
  <si>
    <t>어린이날</t>
  </si>
  <si>
    <t>크리스마스</t>
  </si>
  <si>
    <t>부처 오신날</t>
  </si>
  <si>
    <t>요구사항분석</t>
  </si>
  <si>
    <t>이행계획수립</t>
  </si>
  <si>
    <t>사용자교육</t>
  </si>
  <si>
    <t>성능테스트수행</t>
  </si>
  <si>
    <t>31운동</t>
  </si>
  <si>
    <r>
      <t>개정내역</t>
    </r>
    <r>
      <rPr>
        <b/>
        <vertAlign val="superscript"/>
        <sz val="9"/>
        <color rgb="FFFFFFFF"/>
        <rFont val="맑은 고딕"/>
        <family val="3"/>
        <charset val="129"/>
      </rPr>
      <t>(2)</t>
    </r>
  </si>
  <si>
    <r>
      <t>개정사유</t>
    </r>
    <r>
      <rPr>
        <b/>
        <vertAlign val="superscript"/>
        <sz val="9"/>
        <color rgb="FFFFFFFF"/>
        <rFont val="맑은 고딕"/>
        <family val="3"/>
        <charset val="129"/>
      </rPr>
      <t>(1)</t>
    </r>
  </si>
  <si>
    <t>시루정보</t>
  </si>
  <si>
    <t>작 성 일</t>
  </si>
  <si>
    <t>프로젝트관리</t>
  </si>
  <si>
    <t>의사소통관리</t>
  </si>
  <si>
    <t>Project</t>
  </si>
  <si>
    <t>진척신호</t>
  </si>
  <si>
    <t>실제진척</t>
  </si>
  <si>
    <t>한국조폐공사</t>
  </si>
  <si>
    <t>주간보고서</t>
  </si>
  <si>
    <t>계획진척</t>
  </si>
  <si>
    <t>작 성 자</t>
  </si>
  <si>
    <t>주간업무보고</t>
  </si>
  <si>
    <t>구성진행비율</t>
  </si>
  <si>
    <t>초안작성</t>
  </si>
  <si>
    <t>더큰소프트</t>
  </si>
  <si>
    <t>문서 ID</t>
  </si>
  <si>
    <t>Remarks</t>
  </si>
  <si>
    <t>업무
구성비</t>
  </si>
  <si>
    <t>착수보고</t>
  </si>
  <si>
    <t>착수보고서</t>
  </si>
  <si>
    <t>중간보고서</t>
  </si>
  <si>
    <t>문서개정이력</t>
  </si>
  <si>
    <t>성능테스트계획 수립</t>
  </si>
  <si>
    <t>통합테스트 계획 수립</t>
  </si>
  <si>
    <t>시스템 인프라 구성</t>
  </si>
  <si>
    <t>사용자 교육 계획수립</t>
  </si>
  <si>
    <t>사용자 매뉴얼 작성</t>
  </si>
  <si>
    <t>소비자 분석 시스템</t>
  </si>
  <si>
    <t>운영자메뉴얼 작성</t>
  </si>
  <si>
    <t>공통 인프라 구축</t>
  </si>
  <si>
    <t>프로그램 목록 설계</t>
  </si>
  <si>
    <t>Project 2.4.4</t>
  </si>
  <si>
    <t>Project 2.4.5</t>
  </si>
  <si>
    <t>소셜미디어 정보 관리 개발</t>
  </si>
  <si>
    <t>디지털 메뉴판 관리 개발</t>
  </si>
  <si>
    <t>Project 2.4.1</t>
  </si>
  <si>
    <t>Project 2.4.2</t>
  </si>
  <si>
    <t>공연 축제 정보제공 서비스</t>
  </si>
  <si>
    <t>가맹점 정보 등록 기능</t>
  </si>
  <si>
    <t>Project 2.4.3</t>
  </si>
  <si>
    <t>영업시간 설정 기능 개발</t>
  </si>
  <si>
    <t>Project 4.3.1.3</t>
  </si>
  <si>
    <t>Project 1.2.1</t>
  </si>
  <si>
    <t>Project 1.3.2</t>
  </si>
  <si>
    <t>Project 3.2.1</t>
  </si>
  <si>
    <t>Project 3.4.2</t>
  </si>
  <si>
    <t>Project 3.2.1.1</t>
  </si>
  <si>
    <t>Project 2.3.1</t>
  </si>
  <si>
    <t>Project 3.3.1</t>
  </si>
  <si>
    <t>Project 1.3.1</t>
  </si>
  <si>
    <t>Project 4.3.1.2</t>
  </si>
  <si>
    <t>Project 3.4.1</t>
  </si>
  <si>
    <t>동시처리능력 처리 성능 개선</t>
  </si>
  <si>
    <t>소비자 분석 시스템 구축</t>
  </si>
  <si>
    <t>요구사항추적표(테스트)</t>
  </si>
  <si>
    <t>1차 서비스 오픈(선행)</t>
  </si>
  <si>
    <t>소스코드취약점점검 대응</t>
  </si>
  <si>
    <t>인프라 구성 분석/설계</t>
  </si>
  <si>
    <t xml:space="preserve">CPU 사용률 기능 개선 </t>
  </si>
  <si>
    <t>동시 사용자 접속 성눙 개선</t>
  </si>
  <si>
    <t xml:space="preserve">메모리 사용률 기능 개선 </t>
  </si>
  <si>
    <t>Project 2.3.1.2</t>
  </si>
  <si>
    <t>웹취약점 점검 및 모의해킹 진단 대응</t>
  </si>
  <si>
    <t>신규 DB 연계(온누리 업종 분류 세분화)</t>
  </si>
  <si>
    <t>가맹점 이벤트 노출</t>
  </si>
  <si>
    <t>소비케어 서비스</t>
  </si>
  <si>
    <t>관광정보 API 연계</t>
  </si>
  <si>
    <t>정보제공 시각화 기능</t>
  </si>
  <si>
    <t>통합테스트 1차 실행</t>
  </si>
  <si>
    <t xml:space="preserve">공통/연계 개발 </t>
  </si>
  <si>
    <t>단위 테스트 수행</t>
  </si>
  <si>
    <t>1차 오픈(선행)</t>
  </si>
  <si>
    <t>1차 오픈 안정화</t>
  </si>
  <si>
    <t>Project 5.2</t>
  </si>
  <si>
    <t>Project 4.3</t>
  </si>
  <si>
    <t>Project 5</t>
  </si>
  <si>
    <t>Project 5.3</t>
  </si>
  <si>
    <t>Project 4.2</t>
  </si>
  <si>
    <t>Project 2.1</t>
  </si>
  <si>
    <t>Project 2.5</t>
  </si>
  <si>
    <t>Project 2.6</t>
  </si>
  <si>
    <t>프로토타입 시연</t>
  </si>
  <si>
    <t>앱기능 개선(소비자 분석)</t>
  </si>
  <si>
    <t>중간보고(프로토타입 시연)</t>
  </si>
  <si>
    <t>1차 서비스 안정화(선행)</t>
  </si>
  <si>
    <t>프로토타입 시연회 진행</t>
  </si>
  <si>
    <t>Project 2.6.6.2</t>
  </si>
  <si>
    <t>Project 2.6.6.3</t>
  </si>
  <si>
    <t>Project 2.6.3.1</t>
  </si>
  <si>
    <t>Project 2.6.1.1</t>
  </si>
  <si>
    <t>Project 2.6.3.2</t>
  </si>
  <si>
    <t>Project 2.6.1</t>
  </si>
  <si>
    <t>Project 2.6.5</t>
  </si>
  <si>
    <t>Project 2.6.3.3</t>
  </si>
  <si>
    <t>Project 2.6.1.2</t>
  </si>
  <si>
    <t>Project 2.1.1</t>
  </si>
  <si>
    <t>Project 2.5.1</t>
  </si>
  <si>
    <t>Project 2.6.2</t>
  </si>
  <si>
    <t>Project 2.6.2.1</t>
  </si>
  <si>
    <t>Project 2.6.2.2</t>
  </si>
  <si>
    <t>Project 2.6.2.3</t>
  </si>
  <si>
    <t>Project 2.6.3</t>
  </si>
  <si>
    <t>Project 2.6.6</t>
  </si>
  <si>
    <t>Project 2.6.6.1</t>
  </si>
  <si>
    <t>Project 2.6.4.1</t>
  </si>
  <si>
    <t>Project 2.6.4</t>
  </si>
  <si>
    <t>Project 2.6.4.2</t>
  </si>
  <si>
    <t>진척율</t>
  </si>
  <si>
    <t>총괄</t>
  </si>
  <si>
    <t>버전</t>
  </si>
  <si>
    <t>종료일</t>
  </si>
  <si>
    <t>NO</t>
  </si>
  <si>
    <t>작업명</t>
  </si>
  <si>
    <t>잔여일</t>
  </si>
  <si>
    <t>No</t>
  </si>
  <si>
    <t>날짜</t>
  </si>
  <si>
    <t>기간</t>
  </si>
  <si>
    <t>달성율</t>
  </si>
  <si>
    <t>Dep</t>
  </si>
  <si>
    <t>이상인</t>
  </si>
  <si>
    <t>계획</t>
  </si>
  <si>
    <t>실적</t>
  </si>
  <si>
    <t>핑거</t>
  </si>
  <si>
    <t>김인호</t>
  </si>
  <si>
    <t>공휴일</t>
  </si>
  <si>
    <t>수행사</t>
  </si>
  <si>
    <t>설날</t>
  </si>
  <si>
    <t>현충일</t>
  </si>
  <si>
    <t>광복절</t>
  </si>
  <si>
    <t>차</t>
  </si>
  <si>
    <t>버 전</t>
  </si>
  <si>
    <t>추석</t>
  </si>
  <si>
    <t>시작일</t>
  </si>
  <si>
    <t>제정</t>
  </si>
  <si>
    <t>작성자</t>
  </si>
  <si>
    <t>담당자</t>
  </si>
  <si>
    <t>SPI</t>
  </si>
  <si>
    <t>개천절</t>
  </si>
  <si>
    <t>ㅑ</t>
  </si>
  <si>
    <t>새해</t>
  </si>
  <si>
    <t>인프라</t>
  </si>
  <si>
    <t>신용철</t>
  </si>
  <si>
    <t>한글날</t>
  </si>
  <si>
    <t>신규</t>
  </si>
  <si>
    <t>개발</t>
  </si>
  <si>
    <t>테스트</t>
  </si>
  <si>
    <t>현황 및 요구사항 분석</t>
  </si>
  <si>
    <t>데이터 설계</t>
  </si>
  <si>
    <t>서비스/화면 설계</t>
  </si>
  <si>
    <t>인터페이스 설계</t>
  </si>
  <si>
    <t>API 명세 설계</t>
  </si>
  <si>
    <t>기존 인프라 환경 분석</t>
  </si>
  <si>
    <t>규제 및 정책 요구사항 분석</t>
  </si>
  <si>
    <t>전체 인프라 아키텍처 설계</t>
  </si>
  <si>
    <t>스토리지 설계</t>
  </si>
  <si>
    <t>네트워크 및 보안 설계</t>
  </si>
  <si>
    <t>보안 인프라 설계</t>
  </si>
  <si>
    <t>가맹점 관리 AS-IS 시스템 분석</t>
  </si>
  <si>
    <t>온프레미스/클라우드 구성 현황 분석</t>
  </si>
  <si>
    <t>서버, 스토리지, 네트워크 자원 현황 분석</t>
  </si>
  <si>
    <t>운영 중인 시스템 아키텍처 구조 분석</t>
  </si>
  <si>
    <t>장애 대응·백업·복구 체계 분석</t>
  </si>
  <si>
    <t>CPU, 메모리, 스토리지 용량 산정 기준 분석</t>
  </si>
  <si>
    <t>공공·금융 보안 정책 요구사항 분석</t>
  </si>
  <si>
    <t>개인정보 보호 및 데이터 보안 요구사항</t>
  </si>
  <si>
    <t>클라우드 이용 및 망 분리 기준 분석</t>
  </si>
  <si>
    <t>논리/물리 아키텍처 구성</t>
  </si>
  <si>
    <t>온프레미스–클라우드 연계 구조 설계</t>
  </si>
  <si>
    <t>개발·운영·테스트 환경 분리 설계</t>
  </si>
  <si>
    <t>데이터 유형별 스토리지 구성 설계</t>
  </si>
  <si>
    <t>백업·아카이빙 정책 설계</t>
  </si>
  <si>
    <t>네트워크 아키텍처 설계</t>
  </si>
  <si>
    <t>내부/외부 네트워크 구간 설계</t>
  </si>
  <si>
    <t>망 분리 및 접근 경로 설계</t>
  </si>
  <si>
    <t>트래픽 흐름 및 대역폭 설계</t>
  </si>
  <si>
    <t>방화벽, WAF, IDS/IPS 구성 설계</t>
  </si>
  <si>
    <t>접근통제 및 인증 체계 설계</t>
  </si>
  <si>
    <t>암호화 및 키 관리 구조 설계</t>
  </si>
  <si>
    <t>관리자·운영자 접근 통제 설계</t>
  </si>
  <si>
    <t>계정 관리 및 감사 로그 설계</t>
  </si>
  <si>
    <t>보안 이벤트 대응 체계 설계</t>
  </si>
  <si>
    <t>백업 및 복구(DR) 설계</t>
  </si>
  <si>
    <t>이상인</t>
    <phoneticPr fontId="64" type="noConversion"/>
  </si>
  <si>
    <t>신용철</t>
    <phoneticPr fontId="64" type="noConversion"/>
  </si>
  <si>
    <t>Project 2.3.1.1</t>
    <phoneticPr fontId="64" type="noConversion"/>
  </si>
  <si>
    <t>Project 2.3.2</t>
    <phoneticPr fontId="64" type="noConversion"/>
  </si>
  <si>
    <t>Project 2.3.2.1</t>
    <phoneticPr fontId="64" type="noConversion"/>
  </si>
  <si>
    <t>Project 2.3.3.1</t>
    <phoneticPr fontId="64" type="noConversion"/>
  </si>
  <si>
    <t>Project 2.3.6.1</t>
  </si>
  <si>
    <t>Project 2.4.1.1</t>
  </si>
  <si>
    <t>Project 2.4.1.2</t>
  </si>
  <si>
    <t>Project 2.4.6</t>
  </si>
  <si>
    <t>Project 2.4.7</t>
  </si>
  <si>
    <t>Project 2.5.1.1</t>
  </si>
  <si>
    <t>Project 2.5.1.2</t>
  </si>
  <si>
    <t>Project 2.6.1.3</t>
  </si>
  <si>
    <t>Project 2.6.1.4</t>
  </si>
  <si>
    <t>Project 2.6.1.5</t>
  </si>
  <si>
    <t>Project 2.6.5.1</t>
  </si>
  <si>
    <t>Project 2.6.5.2</t>
  </si>
  <si>
    <t>Project 2.6.5.3</t>
  </si>
  <si>
    <t>Project 2.6.5.4</t>
  </si>
  <si>
    <t>Project 2.6.6.4</t>
  </si>
  <si>
    <t>Project 2.6.6.5</t>
  </si>
  <si>
    <t>Project 2.6.6.6</t>
  </si>
  <si>
    <t>Project 2.6.6.7</t>
  </si>
  <si>
    <t>Project 3.1.1.3</t>
  </si>
  <si>
    <t>Project 3.1.2</t>
  </si>
  <si>
    <t>Project 3.1.2.1</t>
  </si>
  <si>
    <t>Project 3.1.2.2</t>
  </si>
  <si>
    <t>Project 3.1.3</t>
  </si>
  <si>
    <t>Project 3.1.3.1</t>
  </si>
  <si>
    <t>Project 3.1.4</t>
  </si>
  <si>
    <t>Project 3.1.4.1</t>
  </si>
  <si>
    <t>Project 3.1.4.2</t>
  </si>
  <si>
    <t>Project 3.1.5</t>
  </si>
  <si>
    <t>Project 3.1.5.1</t>
  </si>
  <si>
    <t>Project 3.2.1.2</t>
  </si>
  <si>
    <t>Project 3.2.1.3</t>
  </si>
  <si>
    <t>Project 3.2.1.4</t>
  </si>
  <si>
    <t>Project 3.2.1.5</t>
  </si>
  <si>
    <t>Project 3.3.1.1</t>
  </si>
  <si>
    <t>Project 3.4.1.3</t>
  </si>
  <si>
    <t>Project 3.4.2.1</t>
  </si>
  <si>
    <t>Project 3.4.2.2</t>
  </si>
  <si>
    <t>Project 3.5</t>
  </si>
  <si>
    <t>Project 3.5.1</t>
  </si>
  <si>
    <t>Project 3.5.1.1</t>
  </si>
  <si>
    <t>Project 3.5.1.2</t>
  </si>
  <si>
    <t>Project 3.5.2</t>
  </si>
  <si>
    <t>Project 3.5.2.1</t>
  </si>
  <si>
    <t>Project 3.5.3</t>
  </si>
  <si>
    <t>Project 3.5.3.1</t>
  </si>
  <si>
    <t>Project 3.6</t>
  </si>
  <si>
    <t>Project 3.6.1</t>
  </si>
  <si>
    <t>Project 3.6.1.1</t>
  </si>
  <si>
    <t>Project 3.6.1.2</t>
  </si>
  <si>
    <t>Project 3.6.1.3</t>
  </si>
  <si>
    <t>Project 3.6.2</t>
  </si>
  <si>
    <t>Project 3.6.2.1</t>
  </si>
  <si>
    <t>Project 3.6.2.2</t>
  </si>
  <si>
    <t>Project 3.6.2.3</t>
  </si>
  <si>
    <t>Project 3.6.3</t>
  </si>
  <si>
    <t>Project 3.6.3.1</t>
  </si>
  <si>
    <t>Project 3.6.3.2</t>
  </si>
  <si>
    <t>Project 3.6.3.3</t>
  </si>
  <si>
    <t>Project 3.6.4</t>
  </si>
  <si>
    <t>Project 3.6.4.1</t>
  </si>
  <si>
    <t>Project 3.6.4.2</t>
  </si>
  <si>
    <t>Project 3.6.4.3</t>
  </si>
  <si>
    <t>Project 3.6.5</t>
  </si>
  <si>
    <t>Project 3.6.5.1</t>
  </si>
  <si>
    <t>Project 3.6.5.2</t>
  </si>
  <si>
    <t>Project 3.6.5.3</t>
  </si>
  <si>
    <t>Project 4.1.1</t>
  </si>
  <si>
    <t>Project 4.1.1.1</t>
  </si>
  <si>
    <t>Project 4.1.1.2</t>
  </si>
  <si>
    <t>Project 4.1.1.3</t>
  </si>
  <si>
    <t>Project 4.1.2</t>
  </si>
  <si>
    <t>Project 4.1.2.1</t>
  </si>
  <si>
    <t>Project 4.1.2.2</t>
  </si>
  <si>
    <t>Project 4.1.2.3</t>
  </si>
  <si>
    <t>Project 4.1.3</t>
  </si>
  <si>
    <t>Project 4.1.3.1</t>
  </si>
  <si>
    <t>Project 4.1.3.2</t>
  </si>
  <si>
    <t>Project 4.1.3.3</t>
  </si>
  <si>
    <t>Project 4.1.4</t>
  </si>
  <si>
    <t>Project 4.1.4.1</t>
  </si>
  <si>
    <t>Project 4.2.1</t>
  </si>
  <si>
    <t>Project 4.2.1.1</t>
  </si>
  <si>
    <t>Project 4.2.1.1.2</t>
  </si>
  <si>
    <t>Project 4.2.1.1.3</t>
  </si>
  <si>
    <t>Project 4.2.1.2</t>
  </si>
  <si>
    <t>Project 4.2.1.2.2</t>
  </si>
  <si>
    <t>Project 4.2.1.2.3</t>
  </si>
  <si>
    <t>Project 4.2.1.3</t>
  </si>
  <si>
    <t>Project 4.2.1.3.2</t>
  </si>
  <si>
    <t>Project 4.2.1.3.3</t>
  </si>
  <si>
    <t>Project 4.2.2</t>
  </si>
  <si>
    <t>Project 4.2.2.1</t>
  </si>
  <si>
    <t>Project 4.2.2.2</t>
  </si>
  <si>
    <t>Project 4.2.2.3</t>
  </si>
  <si>
    <t>Project 4.2.2.4</t>
  </si>
  <si>
    <t>Project 4.2.3</t>
  </si>
  <si>
    <t>Project 4.2.3.1</t>
  </si>
  <si>
    <t>Project 4.2.3.2</t>
  </si>
  <si>
    <t>Project 4.2.3.3</t>
  </si>
  <si>
    <t>Project 4.3.1</t>
  </si>
  <si>
    <t>Project 4.3.1.1</t>
  </si>
  <si>
    <t>Project 5.1</t>
  </si>
  <si>
    <t>Project 5.1.1</t>
  </si>
  <si>
    <t>Project 5.1.1.1</t>
  </si>
  <si>
    <t>Project 5.1.1.2</t>
  </si>
  <si>
    <t>Project 5.1.1.3</t>
  </si>
  <si>
    <t>Project 5.1.2</t>
  </si>
  <si>
    <t>Project 5.1.2.1</t>
  </si>
  <si>
    <t>Project 5.1.2.2</t>
  </si>
  <si>
    <t>Project 5.1.2.3</t>
  </si>
  <si>
    <t>Project 5.1.3</t>
  </si>
  <si>
    <t>Project 5.1.3.1</t>
  </si>
  <si>
    <t>Project 5.1.3.2</t>
  </si>
  <si>
    <t>Project 5.1.3.3</t>
  </si>
  <si>
    <t>Project 5.2.1</t>
  </si>
  <si>
    <t>Project 5.2.1.1</t>
  </si>
  <si>
    <t>Project 5.2.1.2</t>
  </si>
  <si>
    <t>Project 5.2.1.3</t>
  </si>
  <si>
    <t>Project 5.3.1</t>
  </si>
  <si>
    <t>Project 5.3.1.1</t>
  </si>
  <si>
    <t>Project 5.3.1.2</t>
  </si>
  <si>
    <t>Project 5.3.1.3</t>
  </si>
  <si>
    <t>가맹점 관리 업무 프로세스 분석</t>
    <phoneticPr fontId="64" type="noConversion"/>
  </si>
  <si>
    <t>소상공인 소비데이터 요구사항 분석</t>
    <phoneticPr fontId="64" type="noConversion"/>
  </si>
  <si>
    <t>조건별 그룹화 비교/분석 서비스</t>
  </si>
  <si>
    <t>위치기반 축제정보 및 가맹점 추천</t>
  </si>
  <si>
    <t>인근 가맹점 정보 및 추천 연계</t>
  </si>
  <si>
    <t>이벤트 조건 설정 페이지 구현</t>
  </si>
  <si>
    <t>결제데이터 활용 조건 수정 기능</t>
  </si>
  <si>
    <t>로우데이터 추출기능 개발</t>
  </si>
  <si>
    <t>온누리 스탬프 구현</t>
  </si>
  <si>
    <t>온누리 방문왕 구현</t>
  </si>
  <si>
    <t>연말 왕중왕 구현</t>
  </si>
  <si>
    <t>단골손님 이벤트 구현</t>
  </si>
  <si>
    <t>서비스 활용 매뉴얼 제작</t>
  </si>
  <si>
    <t>데이터통합관리시스템 연계 개발</t>
  </si>
  <si>
    <t>사진/동영상 업로드 기능</t>
  </si>
  <si>
    <t>대표 이미지/썸네일 설정</t>
  </si>
  <si>
    <t>기본 영업시간 설정</t>
  </si>
  <si>
    <t>요일별 영업/휴게시간 설정</t>
  </si>
  <si>
    <t>정기/임시 휴무일·공휴일 설정</t>
  </si>
  <si>
    <t>주차 가능 여부 및 주차장 유형 선택</t>
  </si>
  <si>
    <t>주차 요금/무료 주차/위치 안내 입력</t>
  </si>
  <si>
    <t>편의시설 아이콘 설정</t>
  </si>
  <si>
    <t>메뉴/상품 카테고리화</t>
  </si>
  <si>
    <t>메뉴별 사진/가격/설명/대표메뉴 표기</t>
  </si>
  <si>
    <t>품절 처리 및 노출/비노출 제어</t>
  </si>
  <si>
    <t>이벤트 페이지 구축</t>
  </si>
  <si>
    <t>위치기반 가맹점 추천 메뉴 구현</t>
    <phoneticPr fontId="64" type="noConversion"/>
  </si>
  <si>
    <t>소비케어 상세보기 시각화 기능 구현</t>
    <phoneticPr fontId="64" type="noConversion"/>
  </si>
  <si>
    <t>업종 세분화 보완 개발</t>
    <phoneticPr fontId="64" type="noConversion"/>
  </si>
  <si>
    <t>단순혜택노출 - 환급 행사 등(뱃지)</t>
  </si>
  <si>
    <t>프로모션노출 - 선할인, 캐시백 등(뱃지)</t>
  </si>
  <si>
    <t>사장님 혜택 등록 및 관리 기능 구현</t>
    <phoneticPr fontId="64" type="noConversion"/>
  </si>
  <si>
    <t>과거 결제내역 연동(조회 필터 추가)</t>
    <phoneticPr fontId="64" type="noConversion"/>
  </si>
  <si>
    <t>이해관계자 교육(프로토타입)</t>
    <phoneticPr fontId="64" type="noConversion"/>
  </si>
  <si>
    <t>유효준</t>
  </si>
  <si>
    <t>허인영</t>
  </si>
  <si>
    <t>공연/축제 정보 연계 개발</t>
    <phoneticPr fontId="64" type="noConversion"/>
  </si>
  <si>
    <t>더큰소프트</t>
    <phoneticPr fontId="64" type="noConversion"/>
  </si>
  <si>
    <t>핑거</t>
    <phoneticPr fontId="64" type="noConversion"/>
  </si>
  <si>
    <t>매뉴얼 제작(프로토타입)</t>
    <phoneticPr fontId="64" type="noConversion"/>
  </si>
  <si>
    <t>매뉴얼 제작(서비스 오픈 대응)</t>
    <phoneticPr fontId="64" type="noConversion"/>
  </si>
  <si>
    <t>이해관계자 교육(서비스 오픈대응)</t>
    <phoneticPr fontId="64" type="noConversion"/>
  </si>
  <si>
    <t>허인영</t>
    <phoneticPr fontId="64" type="noConversion"/>
  </si>
  <si>
    <t>유효준</t>
    <phoneticPr fontId="64" type="noConversion"/>
  </si>
  <si>
    <t>한국조폐공사</t>
    <phoneticPr fontId="64" type="noConversion"/>
  </si>
  <si>
    <t>쿠폰 기능 구현</t>
    <phoneticPr fontId="64" type="noConversion"/>
  </si>
  <si>
    <t xml:space="preserve">사장님 혜택 뱃지 추가 </t>
    <phoneticPr fontId="64" type="noConversion"/>
  </si>
  <si>
    <t>최근 결제내역 UI/UX 개선</t>
    <phoneticPr fontId="64" type="noConversion"/>
  </si>
  <si>
    <t>소비내역 연계</t>
    <phoneticPr fontId="64" type="noConversion"/>
  </si>
  <si>
    <t>디지털 온누리 누리집 연계</t>
    <phoneticPr fontId="64" type="noConversion"/>
  </si>
  <si>
    <t>공연/축제 화면 개발</t>
    <phoneticPr fontId="64" type="noConversion"/>
  </si>
  <si>
    <t>결제패턴 분석(요일/시간대/수단)</t>
    <phoneticPr fontId="64" type="noConversion"/>
  </si>
  <si>
    <t>결제패턴 분석(업종)</t>
    <phoneticPr fontId="64" type="noConversion"/>
  </si>
  <si>
    <t>소비자 분석 시스템</t>
    <phoneticPr fontId="64" type="noConversion"/>
  </si>
  <si>
    <t>온누리 가맹점 관리시스템</t>
    <phoneticPr fontId="64" type="noConversion"/>
  </si>
  <si>
    <t>소비데이터 분석 서비스 WBS</t>
    <phoneticPr fontId="64" type="noConversion"/>
  </si>
  <si>
    <t>소비데이터 분석 서비스</t>
    <phoneticPr fontId="64" type="noConversion"/>
  </si>
  <si>
    <t>신규</t>
    <phoneticPr fontId="64" type="noConversion"/>
  </si>
  <si>
    <t>Project 3.1.1.3.1</t>
  </si>
  <si>
    <t>Project 3.1.1.3.2</t>
  </si>
  <si>
    <t>Project 3.1.1.3.3</t>
  </si>
  <si>
    <t>Project 3.1.1.3.4</t>
  </si>
  <si>
    <t>Project 3.1.2.1.1</t>
  </si>
  <si>
    <t>Project 3.1.2.2.1</t>
  </si>
  <si>
    <t>Project 3.1.2.2.2</t>
  </si>
  <si>
    <t>Project 3.1.2.2.3</t>
  </si>
  <si>
    <t>Project 3.1.3.1.1</t>
  </si>
  <si>
    <t>Project 3.1.3.1.2</t>
  </si>
  <si>
    <t>Project 3.1.3.1.3</t>
  </si>
  <si>
    <t>Project 3.1.3.1.4</t>
  </si>
  <si>
    <t>Project 3.1.3.1.5</t>
  </si>
  <si>
    <t>Project 3.1.4.1.1</t>
  </si>
  <si>
    <t>Project 3.1.4.2.1</t>
  </si>
  <si>
    <t>Project 3.1.4.2.2</t>
  </si>
  <si>
    <t>Project 3.1.4.2.3</t>
  </si>
  <si>
    <t>Project 3.1.5.1.1</t>
  </si>
  <si>
    <t>Project 3.1.5.1.2</t>
  </si>
  <si>
    <t>Project 3.1.5.1.3</t>
  </si>
  <si>
    <t>Project 3.1.5.2</t>
  </si>
  <si>
    <t>Project 3.1.5.3</t>
  </si>
  <si>
    <t>Project 3.1.5.4</t>
  </si>
  <si>
    <t>Project 3.1.5.5</t>
  </si>
  <si>
    <t>Project 3.1.6</t>
  </si>
  <si>
    <t>Project 3.1.6.1</t>
  </si>
  <si>
    <t>Project 3.1.6.2</t>
  </si>
  <si>
    <t>Project 3.1.6.3</t>
  </si>
  <si>
    <t>Project 3.1.6.4</t>
  </si>
  <si>
    <t>Project 3.2.1.7</t>
  </si>
  <si>
    <t>Project 3.2.1.1.1</t>
  </si>
  <si>
    <t>Project 3.2.1.1.2</t>
  </si>
  <si>
    <t>Project 3.2.1.2.1</t>
  </si>
  <si>
    <t>Project 3.2.1.2.2</t>
  </si>
  <si>
    <t>Project 3.2.1.2.3</t>
  </si>
  <si>
    <t>Project 3.2.1.3.1</t>
  </si>
  <si>
    <t>Project 3.2.1.3.2</t>
  </si>
  <si>
    <t>Project 3.2.1.3.3</t>
  </si>
  <si>
    <t>Project 3.2.1.5.1</t>
  </si>
  <si>
    <t>Project 3.2.1.5.2</t>
  </si>
  <si>
    <t>Project 3.2.1.5.3</t>
  </si>
  <si>
    <t>Project 3.4.1.4</t>
  </si>
  <si>
    <t>Project 3.4.1.5</t>
  </si>
  <si>
    <t>Project 3.4.2.5</t>
  </si>
  <si>
    <t>Project 3.4.2.6</t>
  </si>
  <si>
    <t>온누리상품권 가맹 관리시스템</t>
    <phoneticPr fontId="64" type="noConversion"/>
  </si>
  <si>
    <t>기존 서비스(AS-IS) 분석</t>
    <phoneticPr fontId="64" type="noConversion"/>
  </si>
  <si>
    <t>개선 범위 정의</t>
    <phoneticPr fontId="64" type="noConversion"/>
  </si>
  <si>
    <t>소비내역 UI/UX 개선 화면설계</t>
    <phoneticPr fontId="64" type="noConversion"/>
  </si>
  <si>
    <t>소비케어 서비스</t>
    <phoneticPr fontId="64" type="noConversion"/>
  </si>
  <si>
    <t>지역축제</t>
    <phoneticPr fontId="64" type="noConversion"/>
  </si>
  <si>
    <t>가맹점 추천 서비스</t>
    <phoneticPr fontId="64" type="noConversion"/>
  </si>
  <si>
    <t>소비케어 서비스 개선 화면 설계</t>
    <phoneticPr fontId="64" type="noConversion"/>
  </si>
  <si>
    <t>소비케어 서비스 프로그램 설계</t>
    <phoneticPr fontId="64" type="noConversion"/>
  </si>
  <si>
    <t>소비패턴 분석 데이터(테이블)/API 설계</t>
    <phoneticPr fontId="64" type="noConversion"/>
  </si>
  <si>
    <t>지역축제 UI/UX 개선 화면설계</t>
    <phoneticPr fontId="64" type="noConversion"/>
  </si>
  <si>
    <t>지역축제 서비스 프로그램 설계</t>
    <phoneticPr fontId="64" type="noConversion"/>
  </si>
  <si>
    <t>지역축제 분석 API 설계</t>
    <phoneticPr fontId="64" type="noConversion"/>
  </si>
  <si>
    <t>지역축제 서비스 인터페이스 설계</t>
    <phoneticPr fontId="64" type="noConversion"/>
  </si>
  <si>
    <t>가맹점 추천(사장님 혜택 등) 서비스, BO  테이블 설계</t>
    <phoneticPr fontId="64" type="noConversion"/>
  </si>
  <si>
    <t>가맹점 추천(사장님 혜택 등) 서비스, BO  API 설계</t>
    <phoneticPr fontId="64" type="noConversion"/>
  </si>
  <si>
    <t>가맹점 추천(사장님 혜택 등) 서비스, BO  화면 설계</t>
    <phoneticPr fontId="64" type="noConversion"/>
  </si>
  <si>
    <t>업종 세분화, 공통뱃지, 단순혜택 프로모션 이벤트 서비스, BO 테이블 설계</t>
    <phoneticPr fontId="64" type="noConversion"/>
  </si>
  <si>
    <t>업종 세분화, 공통뱃지, 단순혜택 프로모션 이벤트 서비스, BO API 설계</t>
    <phoneticPr fontId="64" type="noConversion"/>
  </si>
  <si>
    <t>업종 세분화, 공통뱃지, 단순혜택 프로모션 이벤트 서비스, BO 화면 설계</t>
    <phoneticPr fontId="64" type="noConversion"/>
  </si>
  <si>
    <t>사용자 교육, 운영자 교육</t>
    <phoneticPr fontId="64" type="noConversion"/>
  </si>
  <si>
    <t>화면 설계, 단위테스트, 프로그램목록</t>
    <phoneticPr fontId="64" type="noConversion"/>
  </si>
  <si>
    <t>가맹점 등록관리 기능 개선</t>
    <phoneticPr fontId="64" type="noConversion"/>
  </si>
  <si>
    <t>이벤트 서비스</t>
    <phoneticPr fontId="64" type="noConversion"/>
  </si>
  <si>
    <t>Project 2.3.2.2</t>
  </si>
  <si>
    <t>Project 2.3.2.3</t>
  </si>
  <si>
    <t>Project 2.3.2.4</t>
  </si>
  <si>
    <t>Project 2.3.2.5</t>
  </si>
  <si>
    <t>Project 2.3.2.6</t>
  </si>
  <si>
    <t>가맹점 업종 분류 세분화 정보 수신</t>
    <phoneticPr fontId="64" type="noConversion"/>
  </si>
  <si>
    <t>가맹점 분류 세분화 정보 수신</t>
    <phoneticPr fontId="64" type="noConversion"/>
  </si>
  <si>
    <t>가맹점 정보 및 매출 정보 송신</t>
    <phoneticPr fontId="64" type="noConversion"/>
  </si>
  <si>
    <t>공연축제정보 연동 통신 개방</t>
    <phoneticPr fontId="64" type="noConversion"/>
  </si>
  <si>
    <t>시스템 인프라 구성(방화벽 정책 적용)</t>
    <phoneticPr fontId="64" type="noConversion"/>
  </si>
  <si>
    <t xml:space="preserve">데이터 통합관리 시스템 </t>
    <phoneticPr fontId="64" type="noConversion"/>
  </si>
  <si>
    <t xml:space="preserve">CMS </t>
    <phoneticPr fontId="64" type="noConversion"/>
  </si>
  <si>
    <t>Project 3.2.1.8</t>
  </si>
  <si>
    <t>Project 3.2.1.9</t>
  </si>
  <si>
    <t>이행안정화</t>
    <phoneticPr fontId="64" type="noConversion"/>
  </si>
  <si>
    <t>As-Is 정보구조 분석</t>
    <phoneticPr fontId="64" type="noConversion"/>
  </si>
  <si>
    <t>축제 공연 정보 현황 분석</t>
    <phoneticPr fontId="64" type="noConversion"/>
  </si>
  <si>
    <t>축제·공연 정보 제공</t>
    <phoneticPr fontId="64" type="noConversion"/>
  </si>
  <si>
    <t>온누리플레이스 축제·공연 연계 정보 제공</t>
    <phoneticPr fontId="64" type="noConversion"/>
  </si>
  <si>
    <t>축제·공연 연계 정보 제공 기능/프로그램 설계</t>
    <phoneticPr fontId="64" type="noConversion"/>
  </si>
  <si>
    <t>축제·공연 정보 메뉴 개발</t>
    <phoneticPr fontId="64" type="noConversion"/>
  </si>
  <si>
    <t>백상용</t>
    <phoneticPr fontId="64" type="noConversion"/>
  </si>
  <si>
    <t>외부 연동 API 명세 설계</t>
    <phoneticPr fontId="64" type="noConversion"/>
  </si>
  <si>
    <t>온누리플레이스 가맹점 상세 대표사진 정보 제공</t>
    <phoneticPr fontId="64" type="noConversion"/>
  </si>
  <si>
    <t>외부 연동 API 개발</t>
    <phoneticPr fontId="64" type="noConversion"/>
  </si>
  <si>
    <t>가맹점 상세 대표사진 표시 기능/프로그램 설계</t>
    <phoneticPr fontId="64" type="noConversion"/>
  </si>
  <si>
    <t>온누리플레이스 축제·공연 연계 정보 개발</t>
    <phoneticPr fontId="64" type="noConversion"/>
  </si>
  <si>
    <t>온누리플레이스 가맹점 상세 대표사진 정보 개발</t>
    <phoneticPr fontId="64" type="noConversion"/>
  </si>
  <si>
    <t>허인영, 백상용</t>
    <phoneticPr fontId="64" type="noConversion"/>
  </si>
  <si>
    <t>Project 3.3.2</t>
    <phoneticPr fontId="64" type="noConversion"/>
  </si>
  <si>
    <t>배치 프로젝트 설계</t>
    <phoneticPr fontId="64" type="noConversion"/>
  </si>
  <si>
    <t>Project 2.5.2</t>
    <phoneticPr fontId="64" type="noConversion"/>
  </si>
  <si>
    <t>Project 2.5.2.1</t>
    <phoneticPr fontId="64" type="noConversion"/>
  </si>
  <si>
    <t>Project 2.5.2.2</t>
    <phoneticPr fontId="64" type="noConversion"/>
  </si>
  <si>
    <t>Project 2.5.2.3</t>
    <phoneticPr fontId="64" type="noConversion"/>
  </si>
  <si>
    <t>Project 2.5.2.4</t>
    <phoneticPr fontId="64" type="noConversion"/>
  </si>
  <si>
    <t>Project 2.5.2.5</t>
    <phoneticPr fontId="64" type="noConversion"/>
  </si>
  <si>
    <t>Project 2.5.2.6</t>
    <phoneticPr fontId="64" type="noConversion"/>
  </si>
  <si>
    <t>Project 2.5.2.7</t>
    <phoneticPr fontId="64" type="noConversion"/>
  </si>
  <si>
    <t>Project 2.5.3</t>
    <phoneticPr fontId="64" type="noConversion"/>
  </si>
  <si>
    <t>Project 2.5.4.2</t>
    <phoneticPr fontId="64" type="noConversion"/>
  </si>
  <si>
    <t>Project 2.5.4</t>
    <phoneticPr fontId="64" type="noConversion"/>
  </si>
  <si>
    <t>Project 2.5.3.1</t>
    <phoneticPr fontId="64" type="noConversion"/>
  </si>
  <si>
    <t>Project 2.5.3.2</t>
    <phoneticPr fontId="64" type="noConversion"/>
  </si>
  <si>
    <t>Project 2.5.4.1</t>
    <phoneticPr fontId="64" type="noConversion"/>
  </si>
  <si>
    <t>내부 연동 API 명세 설계</t>
    <phoneticPr fontId="64" type="noConversion"/>
  </si>
  <si>
    <t>내부 제공 API 개발</t>
    <phoneticPr fontId="64" type="noConversion"/>
  </si>
  <si>
    <t>Project 3.3.1.3</t>
    <phoneticPr fontId="64" type="noConversion"/>
  </si>
  <si>
    <t>Project 3.3.1.2</t>
    <phoneticPr fontId="64" type="noConversion"/>
  </si>
  <si>
    <t>Project 3.3.1.4</t>
    <phoneticPr fontId="64" type="noConversion"/>
  </si>
  <si>
    <t>Project 3.3.1.5</t>
    <phoneticPr fontId="64" type="noConversion"/>
  </si>
  <si>
    <t>플레이스 축제·공연 연계 정보 화면 개발</t>
    <phoneticPr fontId="64" type="noConversion"/>
  </si>
  <si>
    <t>축제·공연 정보 화면 개발</t>
    <phoneticPr fontId="64" type="noConversion"/>
  </si>
  <si>
    <t>축제·공연 정보 관리기능 개발</t>
    <phoneticPr fontId="64" type="noConversion"/>
  </si>
  <si>
    <t>축제·공연 정보 배치기능 개발</t>
    <phoneticPr fontId="64" type="noConversion"/>
  </si>
  <si>
    <t>플레이스 가맹점 대표사진 정보 화면 개발</t>
    <phoneticPr fontId="64" type="noConversion"/>
  </si>
  <si>
    <t>플레이스 축제·공연 연계 정보 API 개발</t>
    <phoneticPr fontId="64" type="noConversion"/>
  </si>
  <si>
    <t>플레이스 가맹점 대표사진 정보 API 개발</t>
    <phoneticPr fontId="64" type="noConversion"/>
  </si>
  <si>
    <t>Project 3.3.3</t>
    <phoneticPr fontId="64" type="noConversion"/>
  </si>
  <si>
    <t>Project 3.3.2.1</t>
    <phoneticPr fontId="64" type="noConversion"/>
  </si>
  <si>
    <t>Project 3.3.2.2</t>
    <phoneticPr fontId="64" type="noConversion"/>
  </si>
  <si>
    <t>Project 3.3.3.1</t>
    <phoneticPr fontId="64" type="noConversion"/>
  </si>
  <si>
    <t>Project 3.3.3.2</t>
    <phoneticPr fontId="64" type="noConversion"/>
  </si>
  <si>
    <t>프론트/관리자 화면설계</t>
    <phoneticPr fontId="64" type="noConversion"/>
  </si>
  <si>
    <t>프론트 화면설계</t>
    <phoneticPr fontId="64" type="noConversion"/>
  </si>
  <si>
    <t>통합테스트 시나리오(선행)</t>
    <phoneticPr fontId="64" type="noConversion"/>
  </si>
  <si>
    <t>온누리 상품권 홈페이지(누리집)</t>
    <phoneticPr fontId="64" type="noConversion"/>
  </si>
  <si>
    <t>온누리 상품권 홈페이지(누리집) 구축</t>
    <phoneticPr fontId="64" type="noConversion"/>
  </si>
  <si>
    <t>사업수행계획서</t>
    <phoneticPr fontId="64" type="noConversion"/>
  </si>
  <si>
    <t>RFP 요구사항 정의서</t>
    <phoneticPr fontId="64" type="noConversion"/>
  </si>
  <si>
    <t>가맹점 대표사진 개선적용 개발</t>
    <phoneticPr fontId="64" type="noConversion"/>
  </si>
  <si>
    <t>화면설계서</t>
    <phoneticPr fontId="64" type="noConversion"/>
  </si>
  <si>
    <t>공연축제 정보 정보현황 분석</t>
    <phoneticPr fontId="64" type="noConversion"/>
  </si>
  <si>
    <t>v1.3</t>
    <phoneticPr fontId="64" type="noConversion"/>
  </si>
  <si>
    <t>시루정보 업무 일정 반영</t>
    <phoneticPr fontId="64" type="noConversion"/>
  </si>
  <si>
    <t>추가</t>
    <phoneticPr fontId="64" type="noConversion"/>
  </si>
  <si>
    <t>김인호</t>
    <phoneticPr fontId="64" type="noConversion"/>
  </si>
  <si>
    <t>분석/설계</t>
    <phoneticPr fontId="64" type="noConversion"/>
  </si>
  <si>
    <t>개발</t>
    <phoneticPr fontId="64" type="noConversion"/>
  </si>
  <si>
    <t>테스트</t>
    <phoneticPr fontId="64" type="noConversion"/>
  </si>
  <si>
    <t>시루정보</t>
    <phoneticPr fontId="64" type="noConversion"/>
  </si>
  <si>
    <t>구분</t>
    <phoneticPr fontId="64" type="noConversion"/>
  </si>
  <si>
    <t>실적</t>
    <phoneticPr fontId="64" type="noConversion"/>
  </si>
  <si>
    <t>계획</t>
    <phoneticPr fontId="64" type="noConversion"/>
  </si>
  <si>
    <t>진척율</t>
    <phoneticPr fontId="64" type="noConversion"/>
  </si>
  <si>
    <t>전체(진척율)</t>
    <phoneticPr fontId="64" type="noConversion"/>
  </si>
  <si>
    <t>WBS</t>
    <phoneticPr fontId="64" type="noConversion"/>
  </si>
  <si>
    <t>ONDA 프로젝트</t>
    <phoneticPr fontId="6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</si>
</sst>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-* #,##0.00_-;\-* #,##0.00_-;_-* &quot;-&quot;_-;_-@_-"/>
    <numFmt numFmtId="177" formatCode="0.00_ "/>
    <numFmt numFmtId="178" formatCode="yyyy\/mm\/dd\(aaa\)"/>
    <numFmt numFmtId="179" formatCode="#,##0_ "/>
    <numFmt numFmtId="180" formatCode="0.0_ "/>
    <numFmt numFmtId="181" formatCode="yyyy&quot;/&quot;m&quot;/&quot;d;@"/>
    <numFmt numFmtId="182" formatCode="m&quot;월&quot;\ d&quot;일&quot;"/>
  </numFmts>
  <fonts count="74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9"/>
      <color rgb="FF000000"/>
      <name val="나눔고딕"/>
      <family val="3"/>
      <charset val="129"/>
    </font>
    <font>
      <u/>
      <sz val="7.65"/>
      <color rgb="FF0000FF"/>
      <name val="돋움"/>
      <family val="3"/>
      <charset val="129"/>
    </font>
    <font>
      <sz val="9"/>
      <color rgb="FF000000"/>
      <name val="KoPubWorld돋움체 Medium"/>
      <family val="3"/>
      <charset val="129"/>
    </font>
    <font>
      <b/>
      <sz val="9"/>
      <color rgb="FF000000"/>
      <name val="KoPubWorld돋움체 Medium"/>
      <family val="3"/>
      <charset val="129"/>
    </font>
    <font>
      <sz val="12"/>
      <color rgb="FF000000"/>
      <name val="KoPubWorld돋움체 Medium"/>
      <family val="3"/>
      <charset val="129"/>
    </font>
    <font>
      <b/>
      <sz val="12"/>
      <color rgb="FF000000"/>
      <name val="KoPubWorld돋움체 Medium"/>
      <family val="3"/>
      <charset val="129"/>
    </font>
    <font>
      <sz val="12"/>
      <color rgb="FFFF0000"/>
      <name val="KoPubWorld돋움체 Medium"/>
      <family val="3"/>
      <charset val="129"/>
    </font>
    <font>
      <b/>
      <i/>
      <sz val="12"/>
      <color rgb="FF000000"/>
      <name val="KoPubWorld돋움체 Medium"/>
      <family val="3"/>
      <charset val="129"/>
    </font>
    <font>
      <b/>
      <sz val="12"/>
      <color rgb="FFC00000"/>
      <name val="KoPubWorld돋움체 Medium"/>
      <family val="3"/>
      <charset val="129"/>
    </font>
    <font>
      <b/>
      <sz val="12"/>
      <color rgb="FFFF0000"/>
      <name val="KoPubWorld돋움체 Medium"/>
      <family val="3"/>
      <charset val="129"/>
    </font>
    <font>
      <b/>
      <sz val="12"/>
      <color rgb="FF00B050"/>
      <name val="KoPubWorld돋움체 Medium"/>
      <family val="3"/>
      <charset val="129"/>
    </font>
    <font>
      <b/>
      <i/>
      <sz val="9"/>
      <color rgb="FF000000"/>
      <name val="KoPubWorld돋움체 Medium"/>
      <family val="3"/>
      <charset val="129"/>
    </font>
    <font>
      <b/>
      <sz val="9"/>
      <color rgb="FFFF0000"/>
      <name val="KoPubWorld돋움체 Medium"/>
      <family val="3"/>
      <charset val="129"/>
    </font>
    <font>
      <b/>
      <sz val="9"/>
      <color rgb="FF00B050"/>
      <name val="KoPubWorld돋움체 Medium"/>
      <family val="3"/>
      <charset val="129"/>
    </font>
    <font>
      <b/>
      <sz val="9"/>
      <color rgb="FFC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1"/>
      <color rgb="FFFFFFFF"/>
      <name val="KoPubWorld돋움체 Medium"/>
      <family val="3"/>
      <charset val="129"/>
    </font>
    <font>
      <b/>
      <sz val="12"/>
      <color rgb="FFFFFFFF"/>
      <name val="KoPubWorld돋움체 Medium"/>
      <family val="3"/>
      <charset val="129"/>
    </font>
    <font>
      <sz val="12"/>
      <color rgb="FFFFFFFF"/>
      <name val="KoPubWorld돋움체 Medium"/>
      <family val="3"/>
      <charset val="129"/>
    </font>
    <font>
      <b/>
      <sz val="11"/>
      <color rgb="FF000000"/>
      <name val="KoPubWorld돋움체 Medium"/>
      <family val="3"/>
      <charset val="129"/>
    </font>
    <font>
      <b/>
      <sz val="11"/>
      <color rgb="FF262626"/>
      <name val="KoPubWorld돋움체 Medium"/>
      <family val="3"/>
      <charset val="129"/>
    </font>
    <font>
      <b/>
      <i/>
      <sz val="11"/>
      <color rgb="FF00000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10"/>
      <color rgb="FF262626"/>
      <name val="KoPubWorld돋움체 Medium"/>
      <family val="3"/>
      <charset val="129"/>
    </font>
    <font>
      <i/>
      <sz val="10"/>
      <color rgb="FF000000"/>
      <name val="KoPubWorld돋움체 Medium"/>
      <family val="3"/>
      <charset val="129"/>
    </font>
    <font>
      <b/>
      <i/>
      <sz val="12"/>
      <color rgb="FFFFFFFF"/>
      <name val="KoPubWorld돋움체 Medium"/>
      <family val="3"/>
      <charset val="129"/>
    </font>
    <font>
      <b/>
      <sz val="10"/>
      <color rgb="FF262626"/>
      <name val="KoPubWorld돋움체 Medium"/>
      <family val="3"/>
      <charset val="129"/>
    </font>
    <font>
      <sz val="9"/>
      <color rgb="FF9C0006"/>
      <name val="KoPubWorld돋움체 Medium"/>
      <family val="3"/>
      <charset val="129"/>
    </font>
    <font>
      <b/>
      <sz val="12"/>
      <color rgb="FF1F497D"/>
      <name val="KoPubWorld돋움체 Medium"/>
      <family val="3"/>
      <charset val="129"/>
    </font>
    <font>
      <sz val="9"/>
      <color rgb="FFFF0000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Arial"/>
      <family val="2"/>
    </font>
    <font>
      <b/>
      <sz val="16.25"/>
      <color rgb="FF000000"/>
      <name val="맑은 고딕 Semilight"/>
      <family val="3"/>
      <charset val="129"/>
    </font>
    <font>
      <sz val="16.25"/>
      <color rgb="FF000000"/>
      <name val="맑은 고딕 Semilight"/>
      <family val="3"/>
      <charset val="129"/>
    </font>
    <font>
      <b/>
      <sz val="36"/>
      <color rgb="FF808080"/>
      <name val="맑은 고딕"/>
      <family val="3"/>
      <charset val="129"/>
    </font>
    <font>
      <b/>
      <sz val="28"/>
      <color rgb="FF808080"/>
      <name val="Arial"/>
      <family val="2"/>
    </font>
    <font>
      <b/>
      <sz val="22"/>
      <color rgb="FF000000"/>
      <name val="맑은 고딕"/>
      <family val="3"/>
      <charset val="129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b/>
      <sz val="13"/>
      <color rgb="FF404040"/>
      <name val="맑은 고딕"/>
      <family val="3"/>
      <charset val="129"/>
    </font>
    <font>
      <b/>
      <sz val="14"/>
      <color rgb="FF404040"/>
      <name val="맑은 고딕"/>
      <family val="3"/>
      <charset val="129"/>
    </font>
    <font>
      <sz val="14"/>
      <color rgb="FF40404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1"/>
      <color rgb="FF000000"/>
      <name val="KoPubWorld돋움체 Medium"/>
      <family val="3"/>
      <charset val="129"/>
    </font>
    <font>
      <b/>
      <sz val="11"/>
      <color rgb="FFFF0000"/>
      <name val="KoPubWorld돋움체 Medium"/>
      <family val="3"/>
      <charset val="129"/>
    </font>
    <font>
      <b/>
      <sz val="10"/>
      <color rgb="FFFF0000"/>
      <name val="KoPubWorld돋움체 Medium"/>
      <family val="3"/>
      <charset val="129"/>
    </font>
    <font>
      <sz val="10"/>
      <color rgb="FFFF0000"/>
      <name val="맑은 고딕"/>
      <family val="3"/>
      <charset val="129"/>
    </font>
    <font>
      <b/>
      <sz val="30"/>
      <color rgb="FF000000"/>
      <name val="맑은 고딕 Semilight"/>
      <family val="3"/>
      <charset val="129"/>
    </font>
    <font>
      <b/>
      <sz val="22"/>
      <color rgb="FF808080"/>
      <name val="맑은 고딕"/>
      <family val="3"/>
      <charset val="129"/>
    </font>
    <font>
      <b/>
      <sz val="45.5"/>
      <color rgb="FF000000"/>
      <name val="맑은 고딕"/>
      <family val="3"/>
      <charset val="129"/>
    </font>
    <font>
      <b/>
      <sz val="13"/>
      <color rgb="FFFFFFFF"/>
      <name val="KoPubWorld돋움체 Medium"/>
      <family val="3"/>
      <charset val="129"/>
    </font>
    <font>
      <b/>
      <sz val="26"/>
      <color rgb="FF000000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b/>
      <sz val="12"/>
      <color rgb="FFFFFFFF"/>
      <name val="맑은 고딕"/>
      <family val="3"/>
      <charset val="129"/>
    </font>
    <font>
      <b/>
      <vertAlign val="superscript"/>
      <sz val="9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theme="1"/>
      <name val="나눔고딕"/>
      <family val="2"/>
      <charset val="129"/>
    </font>
    <font>
      <sz val="11"/>
      <name val="굴림체"/>
      <family val="3"/>
      <charset val="129"/>
    </font>
    <font>
      <b/>
      <sz val="30"/>
      <color rgb="FF000000"/>
      <name val="KoPubWorld돋움체 Medium"/>
      <family val="3"/>
      <charset val="129"/>
    </font>
    <font>
      <i/>
      <sz val="10"/>
      <color rgb="FF9C0006"/>
      <name val="KoPubWorld돋움체 Medium"/>
      <family val="3"/>
      <charset val="129"/>
    </font>
    <font>
      <strike/>
      <sz val="10"/>
      <color rgb="FF262626"/>
      <name val="KoPubWorld돋움체 Medium"/>
      <family val="3"/>
      <charset val="129"/>
    </font>
    <font>
      <b/>
      <i/>
      <sz val="10"/>
      <color rgb="FF9C0006"/>
      <name val="KoPubWorld돋움체 Medium"/>
      <family val="3"/>
      <charset val="129"/>
    </font>
    <font>
      <b/>
      <i/>
      <sz val="10"/>
      <color rgb="FF000000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FBFBF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rgb="FFFF0000"/>
      </right>
      <top style="medium">
        <color auto="1"/>
      </top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/>
      <right style="thin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404040"/>
      </top>
      <bottom style="thin">
        <color rgb="FF404040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double">
        <color indexed="64"/>
      </bottom>
      <diagonal/>
    </border>
  </borders>
  <cellStyleXfs count="18">
    <xf numFmtId="0" fontId="0" fillId="0" borderId="0">
      <alignment vertical="center"/>
    </xf>
    <xf numFmtId="41" fontId="63" fillId="0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9" fontId="2" fillId="0" borderId="0">
      <alignment vertical="center"/>
    </xf>
    <xf numFmtId="0" fontId="3" fillId="2" borderId="0">
      <alignment vertical="center"/>
    </xf>
    <xf numFmtId="0" fontId="1" fillId="0" borderId="0">
      <alignment vertical="center"/>
    </xf>
    <xf numFmtId="0" fontId="63" fillId="0" borderId="0">
      <alignment vertical="center"/>
    </xf>
    <xf numFmtId="0" fontId="4" fillId="0" borderId="0">
      <alignment vertical="center"/>
    </xf>
    <xf numFmtId="0" fontId="5" fillId="0" borderId="0">
      <alignment vertical="top"/>
      <protection locked="0"/>
    </xf>
    <xf numFmtId="0" fontId="65" fillId="0" borderId="0">
      <alignment vertical="center"/>
    </xf>
    <xf numFmtId="0" fontId="66" fillId="0" borderId="0"/>
    <xf numFmtId="0" fontId="1" fillId="0" borderId="0">
      <alignment vertical="center"/>
    </xf>
    <xf numFmtId="0" fontId="1" fillId="0" borderId="0"/>
    <xf numFmtId="0" fontId="63" fillId="0" borderId="0"/>
  </cellStyleXfs>
  <cellXfs count="336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0" fontId="6" fillId="0" borderId="0" xfId="0" applyNumberFormat="1" applyFont="1" applyAlignment="1">
      <alignment horizontal="center" vertical="center"/>
    </xf>
    <xf numFmtId="10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9" fillId="3" borderId="2" xfId="0" quotePrefix="1" applyNumberFormat="1" applyFont="1" applyFill="1" applyBorder="1" applyAlignment="1">
      <alignment horizontal="center" vertical="center"/>
    </xf>
    <xf numFmtId="10" fontId="9" fillId="3" borderId="2" xfId="0" applyNumberFormat="1" applyFont="1" applyFill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0" fontId="14" fillId="0" borderId="2" xfId="0" applyNumberFormat="1" applyFont="1" applyBorder="1" applyAlignment="1">
      <alignment horizontal="center" vertical="center"/>
    </xf>
    <xf numFmtId="176" fontId="13" fillId="0" borderId="3" xfId="1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10" fontId="17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>
      <alignment vertical="center"/>
    </xf>
    <xf numFmtId="0" fontId="19" fillId="4" borderId="0" xfId="0" applyFont="1" applyFill="1" applyAlignment="1">
      <alignment horizontal="center" vertical="center"/>
    </xf>
    <xf numFmtId="10" fontId="20" fillId="5" borderId="4" xfId="0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left" vertical="center"/>
    </xf>
    <xf numFmtId="0" fontId="22" fillId="7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178" fontId="21" fillId="7" borderId="7" xfId="0" applyNumberFormat="1" applyFont="1" applyFill="1" applyBorder="1" applyAlignment="1">
      <alignment horizontal="center" vertical="center"/>
    </xf>
    <xf numFmtId="10" fontId="21" fillId="7" borderId="8" xfId="0" applyNumberFormat="1" applyFont="1" applyFill="1" applyBorder="1" applyAlignment="1">
      <alignment horizontal="center" vertical="center"/>
    </xf>
    <xf numFmtId="178" fontId="21" fillId="7" borderId="8" xfId="0" applyNumberFormat="1" applyFont="1" applyFill="1" applyBorder="1" applyAlignment="1">
      <alignment horizontal="center" vertical="center"/>
    </xf>
    <xf numFmtId="10" fontId="21" fillId="7" borderId="2" xfId="0" applyNumberFormat="1" applyFont="1" applyFill="1" applyBorder="1" applyAlignment="1">
      <alignment horizontal="center" vertical="center"/>
    </xf>
    <xf numFmtId="10" fontId="21" fillId="7" borderId="9" xfId="0" applyNumberFormat="1" applyFont="1" applyFill="1" applyBorder="1" applyAlignment="1">
      <alignment horizontal="center" vertical="center"/>
    </xf>
    <xf numFmtId="10" fontId="21" fillId="7" borderId="10" xfId="0" applyNumberFormat="1" applyFont="1" applyFill="1" applyBorder="1" applyAlignment="1">
      <alignment horizontal="center" vertical="center"/>
    </xf>
    <xf numFmtId="10" fontId="21" fillId="7" borderId="11" xfId="0" applyNumberFormat="1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10" fontId="21" fillId="7" borderId="13" xfId="0" applyNumberFormat="1" applyFon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21" fillId="6" borderId="14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center" vertical="center"/>
    </xf>
    <xf numFmtId="10" fontId="21" fillId="6" borderId="15" xfId="0" applyNumberFormat="1" applyFont="1" applyFill="1" applyBorder="1" applyAlignment="1">
      <alignment horizontal="left" vertical="center"/>
    </xf>
    <xf numFmtId="10" fontId="21" fillId="6" borderId="16" xfId="0" applyNumberFormat="1" applyFont="1" applyFill="1" applyBorder="1" applyAlignment="1">
      <alignment horizontal="center" vertical="center"/>
    </xf>
    <xf numFmtId="10" fontId="21" fillId="8" borderId="17" xfId="0" applyNumberFormat="1" applyFont="1" applyFill="1" applyBorder="1" applyAlignment="1">
      <alignment horizontal="center" vertical="center"/>
    </xf>
    <xf numFmtId="10" fontId="21" fillId="6" borderId="18" xfId="0" applyNumberFormat="1" applyFont="1" applyFill="1" applyBorder="1" applyAlignment="1">
      <alignment horizontal="center" vertical="center"/>
    </xf>
    <xf numFmtId="179" fontId="21" fillId="6" borderId="19" xfId="0" applyNumberFormat="1" applyFont="1" applyFill="1" applyBorder="1" applyAlignment="1">
      <alignment horizontal="center" vertical="center"/>
    </xf>
    <xf numFmtId="10" fontId="21" fillId="8" borderId="20" xfId="0" applyNumberFormat="1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left" vertical="center" indent="1"/>
    </xf>
    <xf numFmtId="0" fontId="23" fillId="0" borderId="0" xfId="0" applyFont="1">
      <alignment vertical="center"/>
    </xf>
    <xf numFmtId="0" fontId="24" fillId="9" borderId="21" xfId="0" applyFont="1" applyFill="1" applyBorder="1" applyAlignment="1">
      <alignment horizontal="left" vertical="center"/>
    </xf>
    <xf numFmtId="0" fontId="23" fillId="9" borderId="21" xfId="0" applyFont="1" applyFill="1" applyBorder="1" applyAlignment="1">
      <alignment horizontal="center" vertical="center"/>
    </xf>
    <xf numFmtId="10" fontId="24" fillId="9" borderId="22" xfId="0" applyNumberFormat="1" applyFont="1" applyFill="1" applyBorder="1" applyAlignment="1">
      <alignment horizontal="left" vertical="center"/>
    </xf>
    <xf numFmtId="0" fontId="24" fillId="9" borderId="23" xfId="0" applyFont="1" applyFill="1" applyBorder="1" applyAlignment="1">
      <alignment horizontal="left" vertical="center"/>
    </xf>
    <xf numFmtId="0" fontId="24" fillId="9" borderId="24" xfId="0" applyFont="1" applyFill="1" applyBorder="1" applyAlignment="1">
      <alignment horizontal="left" vertical="center"/>
    </xf>
    <xf numFmtId="10" fontId="24" fillId="9" borderId="24" xfId="0" applyNumberFormat="1" applyFont="1" applyFill="1" applyBorder="1" applyAlignment="1">
      <alignment horizontal="center" vertical="center"/>
    </xf>
    <xf numFmtId="10" fontId="24" fillId="9" borderId="25" xfId="0" applyNumberFormat="1" applyFont="1" applyFill="1" applyBorder="1" applyAlignment="1">
      <alignment horizontal="center" vertical="center"/>
    </xf>
    <xf numFmtId="10" fontId="24" fillId="9" borderId="21" xfId="0" applyNumberFormat="1" applyFont="1" applyFill="1" applyBorder="1" applyAlignment="1">
      <alignment horizontal="center" vertical="center"/>
    </xf>
    <xf numFmtId="0" fontId="24" fillId="9" borderId="21" xfId="0" applyFont="1" applyFill="1" applyBorder="1" applyAlignment="1">
      <alignment horizontal="center" vertical="center"/>
    </xf>
    <xf numFmtId="10" fontId="25" fillId="9" borderId="26" xfId="0" applyNumberFormat="1" applyFont="1" applyFill="1" applyBorder="1" applyAlignment="1">
      <alignment horizontal="center" vertical="center"/>
    </xf>
    <xf numFmtId="0" fontId="23" fillId="9" borderId="27" xfId="0" applyFont="1" applyFill="1" applyBorder="1" applyAlignment="1">
      <alignment horizontal="left" vertical="center" indent="1"/>
    </xf>
    <xf numFmtId="0" fontId="26" fillId="0" borderId="0" xfId="0" applyFont="1">
      <alignment vertical="center"/>
    </xf>
    <xf numFmtId="0" fontId="27" fillId="10" borderId="21" xfId="0" applyFont="1" applyFill="1" applyBorder="1" applyAlignment="1">
      <alignment horizontal="left" vertical="center"/>
    </xf>
    <xf numFmtId="0" fontId="19" fillId="10" borderId="21" xfId="0" applyFont="1" applyFill="1" applyBorder="1" applyAlignment="1">
      <alignment horizontal="center" vertical="center"/>
    </xf>
    <xf numFmtId="10" fontId="27" fillId="10" borderId="22" xfId="0" applyNumberFormat="1" applyFont="1" applyFill="1" applyBorder="1" applyAlignment="1">
      <alignment horizontal="left" vertical="center"/>
    </xf>
    <xf numFmtId="0" fontId="27" fillId="10" borderId="23" xfId="0" applyFont="1" applyFill="1" applyBorder="1" applyAlignment="1">
      <alignment horizontal="left" vertical="center"/>
    </xf>
    <xf numFmtId="10" fontId="27" fillId="10" borderId="24" xfId="0" applyNumberFormat="1" applyFont="1" applyFill="1" applyBorder="1" applyAlignment="1">
      <alignment horizontal="center" vertical="center"/>
    </xf>
    <xf numFmtId="10" fontId="27" fillId="10" borderId="25" xfId="0" applyNumberFormat="1" applyFont="1" applyFill="1" applyBorder="1" applyAlignment="1">
      <alignment horizontal="center" vertical="center"/>
    </xf>
    <xf numFmtId="10" fontId="27" fillId="10" borderId="21" xfId="0" applyNumberFormat="1" applyFont="1" applyFill="1" applyBorder="1" applyAlignment="1">
      <alignment horizontal="center" vertical="center"/>
    </xf>
    <xf numFmtId="0" fontId="27" fillId="10" borderId="21" xfId="0" applyFont="1" applyFill="1" applyBorder="1" applyAlignment="1">
      <alignment horizontal="center" vertical="center"/>
    </xf>
    <xf numFmtId="10" fontId="28" fillId="10" borderId="26" xfId="0" applyNumberFormat="1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left" vertical="center" indent="1"/>
    </xf>
    <xf numFmtId="0" fontId="21" fillId="6" borderId="21" xfId="0" applyFont="1" applyFill="1" applyBorder="1" applyAlignment="1">
      <alignment horizontal="left" vertical="center"/>
    </xf>
    <xf numFmtId="10" fontId="21" fillId="6" borderId="22" xfId="0" applyNumberFormat="1" applyFont="1" applyFill="1" applyBorder="1" applyAlignment="1">
      <alignment horizontal="left" vertical="center"/>
    </xf>
    <xf numFmtId="0" fontId="21" fillId="6" borderId="21" xfId="0" applyFont="1" applyFill="1" applyBorder="1" applyAlignment="1">
      <alignment horizontal="center" vertical="center"/>
    </xf>
    <xf numFmtId="10" fontId="21" fillId="6" borderId="24" xfId="0" applyNumberFormat="1" applyFont="1" applyFill="1" applyBorder="1" applyAlignment="1">
      <alignment horizontal="center" vertical="center"/>
    </xf>
    <xf numFmtId="10" fontId="21" fillId="8" borderId="23" xfId="0" applyNumberFormat="1" applyFont="1" applyFill="1" applyBorder="1" applyAlignment="1">
      <alignment horizontal="center" vertical="center"/>
    </xf>
    <xf numFmtId="10" fontId="21" fillId="6" borderId="21" xfId="0" applyNumberFormat="1" applyFont="1" applyFill="1" applyBorder="1" applyAlignment="1">
      <alignment horizontal="center" vertical="center"/>
    </xf>
    <xf numFmtId="10" fontId="29" fillId="6" borderId="26" xfId="0" applyNumberFormat="1" applyFont="1" applyFill="1" applyBorder="1" applyAlignment="1">
      <alignment horizontal="center" vertical="center"/>
    </xf>
    <xf numFmtId="0" fontId="23" fillId="4" borderId="0" xfId="0" applyFont="1" applyFill="1">
      <alignment vertical="center"/>
    </xf>
    <xf numFmtId="10" fontId="19" fillId="10" borderId="22" xfId="0" applyNumberFormat="1" applyFont="1" applyFill="1" applyBorder="1" applyAlignment="1">
      <alignment horizontal="left" vertical="center"/>
    </xf>
    <xf numFmtId="0" fontId="19" fillId="10" borderId="23" xfId="0" applyFont="1" applyFill="1" applyBorder="1" applyAlignment="1">
      <alignment horizontal="left" vertical="center"/>
    </xf>
    <xf numFmtId="0" fontId="26" fillId="10" borderId="0" xfId="0" applyFont="1" applyFill="1">
      <alignment vertical="center"/>
    </xf>
    <xf numFmtId="0" fontId="26" fillId="10" borderId="23" xfId="0" applyFont="1" applyFill="1" applyBorder="1" applyAlignment="1">
      <alignment horizontal="left" vertical="center"/>
    </xf>
    <xf numFmtId="0" fontId="19" fillId="10" borderId="21" xfId="0" applyFont="1" applyFill="1" applyBorder="1" applyAlignment="1">
      <alignment horizontal="left" vertical="center"/>
    </xf>
    <xf numFmtId="10" fontId="19" fillId="10" borderId="24" xfId="0" applyNumberFormat="1" applyFont="1" applyFill="1" applyBorder="1" applyAlignment="1">
      <alignment horizontal="center" vertical="center"/>
    </xf>
    <xf numFmtId="10" fontId="23" fillId="9" borderId="24" xfId="0" applyNumberFormat="1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left" vertical="center" indent="1"/>
    </xf>
    <xf numFmtId="0" fontId="21" fillId="4" borderId="0" xfId="0" applyFont="1" applyFill="1">
      <alignment vertical="center"/>
    </xf>
    <xf numFmtId="10" fontId="21" fillId="6" borderId="25" xfId="0" applyNumberFormat="1" applyFont="1" applyFill="1" applyBorder="1" applyAlignment="1">
      <alignment horizontal="center" vertical="center"/>
    </xf>
    <xf numFmtId="0" fontId="31" fillId="0" borderId="0" xfId="8" applyFont="1" applyFill="1" applyAlignment="1">
      <alignment horizontal="center" vertical="center"/>
    </xf>
    <xf numFmtId="10" fontId="16" fillId="0" borderId="0" xfId="7" applyNumberFormat="1" applyFont="1" applyAlignment="1">
      <alignment horizontal="center" vertical="center"/>
    </xf>
    <xf numFmtId="178" fontId="27" fillId="10" borderId="24" xfId="4" applyNumberFormat="1" applyFont="1" applyFill="1" applyBorder="1" applyAlignment="1">
      <alignment horizontal="center" vertical="center" wrapText="1"/>
    </xf>
    <xf numFmtId="178" fontId="27" fillId="10" borderId="24" xfId="5" applyNumberFormat="1" applyFont="1" applyFill="1" applyBorder="1" applyAlignment="1">
      <alignment horizontal="center" vertical="center" wrapText="1"/>
    </xf>
    <xf numFmtId="0" fontId="19" fillId="10" borderId="23" xfId="2" applyFont="1" applyFill="1" applyBorder="1">
      <alignment vertical="center"/>
    </xf>
    <xf numFmtId="0" fontId="26" fillId="10" borderId="23" xfId="2" applyFont="1" applyFill="1" applyBorder="1">
      <alignment vertical="center"/>
    </xf>
    <xf numFmtId="10" fontId="32" fillId="0" borderId="2" xfId="7" applyNumberFormat="1" applyFont="1" applyBorder="1" applyAlignment="1">
      <alignment horizontal="center" vertical="center"/>
    </xf>
    <xf numFmtId="178" fontId="21" fillId="6" borderId="29" xfId="3" applyNumberFormat="1" applyFont="1" applyFill="1" applyBorder="1" applyAlignment="1">
      <alignment horizontal="center" vertical="center" wrapText="1"/>
    </xf>
    <xf numFmtId="178" fontId="24" fillId="9" borderId="24" xfId="4" applyNumberFormat="1" applyFont="1" applyFill="1" applyBorder="1" applyAlignment="1">
      <alignment horizontal="center" vertical="center" wrapText="1"/>
    </xf>
    <xf numFmtId="178" fontId="24" fillId="9" borderId="24" xfId="5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16" fillId="0" borderId="0" xfId="0" applyFont="1">
      <alignment vertical="center"/>
    </xf>
    <xf numFmtId="0" fontId="34" fillId="0" borderId="0" xfId="0" applyFont="1">
      <alignment vertical="center"/>
    </xf>
    <xf numFmtId="0" fontId="34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0" fontId="9" fillId="4" borderId="0" xfId="0" applyNumberFormat="1" applyFont="1" applyFill="1">
      <alignment vertical="center"/>
    </xf>
    <xf numFmtId="10" fontId="23" fillId="0" borderId="0" xfId="0" applyNumberFormat="1" applyFont="1">
      <alignment vertical="center"/>
    </xf>
    <xf numFmtId="10" fontId="26" fillId="0" borderId="0" xfId="0" applyNumberFormat="1" applyFont="1">
      <alignment vertical="center"/>
    </xf>
    <xf numFmtId="10" fontId="23" fillId="4" borderId="0" xfId="0" applyNumberFormat="1" applyFont="1" applyFill="1">
      <alignment vertical="center"/>
    </xf>
    <xf numFmtId="10" fontId="26" fillId="10" borderId="0" xfId="0" applyNumberFormat="1" applyFont="1" applyFill="1">
      <alignment vertical="center"/>
    </xf>
    <xf numFmtId="10" fontId="23" fillId="9" borderId="0" xfId="0" applyNumberFormat="1" applyFont="1" applyFill="1">
      <alignment vertical="center"/>
    </xf>
    <xf numFmtId="10" fontId="21" fillId="4" borderId="0" xfId="0" applyNumberFormat="1" applyFont="1" applyFill="1">
      <alignment vertical="center"/>
    </xf>
    <xf numFmtId="0" fontId="6" fillId="6" borderId="0" xfId="0" applyFont="1" applyFill="1">
      <alignment vertical="center"/>
    </xf>
    <xf numFmtId="0" fontId="21" fillId="6" borderId="8" xfId="0" applyFont="1" applyFill="1" applyBorder="1" applyAlignment="1">
      <alignment horizontal="center" vertical="center"/>
    </xf>
    <xf numFmtId="10" fontId="13" fillId="0" borderId="2" xfId="0" applyNumberFormat="1" applyFont="1" applyBorder="1" applyAlignment="1">
      <alignment horizontal="center" vertical="center"/>
    </xf>
    <xf numFmtId="0" fontId="35" fillId="4" borderId="0" xfId="9" applyFont="1" applyFill="1">
      <alignment vertical="center"/>
    </xf>
    <xf numFmtId="0" fontId="1" fillId="4" borderId="0" xfId="9" applyFill="1">
      <alignment vertical="center"/>
    </xf>
    <xf numFmtId="0" fontId="36" fillId="4" borderId="0" xfId="9" applyFont="1" applyFill="1">
      <alignment vertical="center"/>
    </xf>
    <xf numFmtId="0" fontId="0" fillId="4" borderId="0" xfId="9" applyFont="1" applyFill="1">
      <alignment vertical="center"/>
    </xf>
    <xf numFmtId="0" fontId="37" fillId="4" borderId="0" xfId="9" applyFont="1" applyFill="1" applyAlignment="1">
      <alignment vertical="center" wrapText="1"/>
    </xf>
    <xf numFmtId="0" fontId="38" fillId="4" borderId="0" xfId="9" applyFont="1" applyFill="1">
      <alignment vertical="center"/>
    </xf>
    <xf numFmtId="0" fontId="39" fillId="4" borderId="0" xfId="9" applyFont="1" applyFill="1" applyAlignment="1">
      <alignment vertical="center" wrapText="1"/>
    </xf>
    <xf numFmtId="0" fontId="40" fillId="4" borderId="0" xfId="9" applyFont="1" applyFill="1" applyAlignment="1">
      <alignment vertical="center" wrapText="1"/>
    </xf>
    <xf numFmtId="0" fontId="41" fillId="4" borderId="0" xfId="9" applyFont="1" applyFill="1" applyAlignment="1">
      <alignment vertical="center" wrapText="1"/>
    </xf>
    <xf numFmtId="0" fontId="42" fillId="4" borderId="0" xfId="9" applyFont="1" applyFill="1">
      <alignment vertical="center"/>
    </xf>
    <xf numFmtId="0" fontId="43" fillId="4" borderId="0" xfId="9" applyFont="1" applyFill="1" applyAlignment="1">
      <alignment horizontal="center" vertical="center"/>
    </xf>
    <xf numFmtId="0" fontId="43" fillId="4" borderId="0" xfId="9" applyFont="1" applyFill="1">
      <alignment vertical="center"/>
    </xf>
    <xf numFmtId="0" fontId="44" fillId="4" borderId="0" xfId="9" applyFont="1" applyFill="1" applyAlignment="1">
      <alignment horizontal="center" vertical="center" wrapText="1"/>
    </xf>
    <xf numFmtId="0" fontId="2" fillId="4" borderId="0" xfId="9" applyFont="1" applyFill="1" applyAlignment="1">
      <alignment vertical="center" wrapText="1"/>
    </xf>
    <xf numFmtId="0" fontId="2" fillId="4" borderId="0" xfId="9" applyFont="1" applyFill="1" applyAlignment="1">
      <alignment horizontal="center" vertical="center" wrapText="1"/>
    </xf>
    <xf numFmtId="14" fontId="2" fillId="4" borderId="0" xfId="10" applyNumberFormat="1" applyFont="1" applyFill="1" applyAlignment="1">
      <alignment vertical="center" wrapText="1"/>
    </xf>
    <xf numFmtId="0" fontId="45" fillId="4" borderId="0" xfId="9" applyFont="1" applyFill="1" applyAlignment="1">
      <alignment horizontal="center" vertical="center" wrapText="1"/>
    </xf>
    <xf numFmtId="0" fontId="35" fillId="4" borderId="0" xfId="9" applyFont="1" applyFill="1" applyAlignment="1">
      <alignment vertical="center" wrapText="1"/>
    </xf>
    <xf numFmtId="0" fontId="2" fillId="4" borderId="30" xfId="9" applyFont="1" applyFill="1" applyBorder="1" applyAlignment="1">
      <alignment vertical="center" wrapText="1"/>
    </xf>
    <xf numFmtId="0" fontId="35" fillId="4" borderId="0" xfId="9" applyFont="1" applyFill="1" applyAlignment="1">
      <alignment horizontal="center" vertical="center"/>
    </xf>
    <xf numFmtId="0" fontId="46" fillId="0" borderId="0" xfId="11" applyFont="1">
      <alignment vertical="center"/>
    </xf>
    <xf numFmtId="0" fontId="35" fillId="0" borderId="0" xfId="11" applyFont="1">
      <alignment vertical="center"/>
    </xf>
    <xf numFmtId="14" fontId="35" fillId="0" borderId="0" xfId="11" applyNumberFormat="1" applyFont="1">
      <alignment vertical="center"/>
    </xf>
    <xf numFmtId="0" fontId="35" fillId="0" borderId="0" xfId="11" applyFont="1" applyAlignment="1">
      <alignment horizontal="center" vertical="center"/>
    </xf>
    <xf numFmtId="0" fontId="47" fillId="0" borderId="0" xfId="11" applyFont="1">
      <alignment vertical="center"/>
    </xf>
    <xf numFmtId="0" fontId="48" fillId="0" borderId="0" xfId="11" applyFont="1">
      <alignment vertical="center"/>
    </xf>
    <xf numFmtId="14" fontId="49" fillId="0" borderId="0" xfId="11" applyNumberFormat="1" applyFont="1">
      <alignment vertical="center"/>
    </xf>
    <xf numFmtId="0" fontId="49" fillId="0" borderId="0" xfId="11" applyFont="1">
      <alignment vertical="center"/>
    </xf>
    <xf numFmtId="0" fontId="46" fillId="0" borderId="0" xfId="11" applyFont="1" applyAlignment="1">
      <alignment horizontal="center" vertical="center"/>
    </xf>
    <xf numFmtId="0" fontId="50" fillId="11" borderId="31" xfId="11" applyFont="1" applyFill="1" applyBorder="1" applyAlignment="1">
      <alignment horizontal="center" vertical="center"/>
    </xf>
    <xf numFmtId="14" fontId="50" fillId="11" borderId="32" xfId="11" applyNumberFormat="1" applyFont="1" applyFill="1" applyBorder="1" applyAlignment="1">
      <alignment horizontal="center" vertical="center"/>
    </xf>
    <xf numFmtId="0" fontId="50" fillId="11" borderId="32" xfId="11" applyFont="1" applyFill="1" applyBorder="1" applyAlignment="1">
      <alignment horizontal="center" vertical="center"/>
    </xf>
    <xf numFmtId="0" fontId="50" fillId="11" borderId="33" xfId="11" applyFont="1" applyFill="1" applyBorder="1" applyAlignment="1">
      <alignment horizontal="center" vertical="center"/>
    </xf>
    <xf numFmtId="0" fontId="35" fillId="0" borderId="31" xfId="11" applyFont="1" applyBorder="1" applyAlignment="1">
      <alignment horizontal="center" vertical="center"/>
    </xf>
    <xf numFmtId="180" fontId="35" fillId="0" borderId="32" xfId="11" applyNumberFormat="1" applyFont="1" applyBorder="1" applyAlignment="1">
      <alignment horizontal="center" vertical="center"/>
    </xf>
    <xf numFmtId="14" fontId="35" fillId="0" borderId="32" xfId="11" applyNumberFormat="1" applyFont="1" applyBorder="1" applyAlignment="1">
      <alignment horizontal="center" vertical="center"/>
    </xf>
    <xf numFmtId="0" fontId="35" fillId="0" borderId="32" xfId="11" applyFont="1" applyBorder="1" applyAlignment="1">
      <alignment horizontal="left" vertical="center" wrapText="1" indent="1"/>
    </xf>
    <xf numFmtId="0" fontId="35" fillId="0" borderId="33" xfId="11" applyFont="1" applyBorder="1" applyAlignment="1">
      <alignment horizontal="center" vertical="center" wrapText="1"/>
    </xf>
    <xf numFmtId="0" fontId="35" fillId="0" borderId="32" xfId="11" applyFont="1" applyBorder="1" applyAlignment="1">
      <alignment horizontal="left" vertical="center" indent="2"/>
    </xf>
    <xf numFmtId="0" fontId="35" fillId="0" borderId="33" xfId="11" applyFont="1" applyBorder="1" applyAlignment="1">
      <alignment horizontal="center" vertical="center"/>
    </xf>
    <xf numFmtId="0" fontId="35" fillId="0" borderId="0" xfId="12" applyFont="1" applyAlignment="1" applyProtection="1">
      <alignment vertical="center"/>
    </xf>
    <xf numFmtId="14" fontId="9" fillId="3" borderId="2" xfId="0" applyNumberFormat="1" applyFont="1" applyFill="1" applyBorder="1" applyAlignment="1">
      <alignment horizontal="center" vertical="center"/>
    </xf>
    <xf numFmtId="0" fontId="35" fillId="0" borderId="32" xfId="11" applyFont="1" applyBorder="1">
      <alignment vertical="center"/>
    </xf>
    <xf numFmtId="10" fontId="26" fillId="9" borderId="0" xfId="0" applyNumberFormat="1" applyFont="1" applyFill="1">
      <alignment vertical="center"/>
    </xf>
    <xf numFmtId="10" fontId="21" fillId="9" borderId="0" xfId="0" applyNumberFormat="1" applyFont="1" applyFill="1">
      <alignment vertical="center"/>
    </xf>
    <xf numFmtId="10" fontId="23" fillId="10" borderId="0" xfId="0" applyNumberFormat="1" applyFont="1" applyFill="1">
      <alignment vertical="center"/>
    </xf>
    <xf numFmtId="0" fontId="20" fillId="5" borderId="2" xfId="0" applyFont="1" applyFill="1" applyBorder="1" applyAlignment="1">
      <alignment horizontal="center" vertical="center"/>
    </xf>
    <xf numFmtId="10" fontId="20" fillId="5" borderId="2" xfId="0" applyNumberFormat="1" applyFont="1" applyFill="1" applyBorder="1" applyAlignment="1">
      <alignment horizontal="center" vertical="center"/>
    </xf>
    <xf numFmtId="0" fontId="27" fillId="10" borderId="23" xfId="2" applyFont="1" applyFill="1" applyBorder="1">
      <alignment vertical="center"/>
    </xf>
    <xf numFmtId="178" fontId="19" fillId="10" borderId="24" xfId="4" applyNumberFormat="1" applyFont="1" applyFill="1" applyBorder="1" applyAlignment="1">
      <alignment horizontal="center" vertical="center" wrapText="1"/>
    </xf>
    <xf numFmtId="178" fontId="19" fillId="10" borderId="24" xfId="5" applyNumberFormat="1" applyFont="1" applyFill="1" applyBorder="1" applyAlignment="1">
      <alignment horizontal="center" vertical="center" wrapText="1"/>
    </xf>
    <xf numFmtId="0" fontId="24" fillId="9" borderId="21" xfId="10" applyFont="1" applyFill="1" applyBorder="1" applyAlignment="1">
      <alignment horizontal="left" vertical="center"/>
    </xf>
    <xf numFmtId="0" fontId="23" fillId="9" borderId="21" xfId="10" applyFont="1" applyFill="1" applyBorder="1" applyAlignment="1">
      <alignment horizontal="center" vertical="center"/>
    </xf>
    <xf numFmtId="10" fontId="24" fillId="9" borderId="22" xfId="10" applyNumberFormat="1" applyFont="1" applyFill="1" applyBorder="1" applyAlignment="1">
      <alignment horizontal="left" vertical="center"/>
    </xf>
    <xf numFmtId="0" fontId="24" fillId="9" borderId="23" xfId="10" applyFont="1" applyFill="1" applyBorder="1" applyAlignment="1">
      <alignment horizontal="left" vertical="center"/>
    </xf>
    <xf numFmtId="10" fontId="27" fillId="10" borderId="21" xfId="10" applyNumberFormat="1" applyFont="1" applyFill="1" applyBorder="1" applyAlignment="1">
      <alignment horizontal="center" vertical="center"/>
    </xf>
    <xf numFmtId="0" fontId="27" fillId="10" borderId="21" xfId="10" applyFont="1" applyFill="1" applyBorder="1" applyAlignment="1">
      <alignment horizontal="center" vertical="center"/>
    </xf>
    <xf numFmtId="10" fontId="28" fillId="10" borderId="26" xfId="10" applyNumberFormat="1" applyFont="1" applyFill="1" applyBorder="1" applyAlignment="1">
      <alignment horizontal="center" vertical="center"/>
    </xf>
    <xf numFmtId="0" fontId="21" fillId="6" borderId="23" xfId="2" applyFont="1" applyFill="1" applyBorder="1">
      <alignment vertical="center"/>
    </xf>
    <xf numFmtId="178" fontId="21" fillId="6" borderId="21" xfId="3" applyNumberFormat="1" applyFont="1" applyFill="1" applyBorder="1" applyAlignment="1">
      <alignment horizontal="center" vertical="center" wrapText="1"/>
    </xf>
    <xf numFmtId="178" fontId="21" fillId="6" borderId="24" xfId="3" applyNumberFormat="1" applyFont="1" applyFill="1" applyBorder="1" applyAlignment="1">
      <alignment horizontal="center" vertical="center" wrapText="1"/>
    </xf>
    <xf numFmtId="0" fontId="24" fillId="9" borderId="23" xfId="2" applyFont="1" applyFill="1" applyBorder="1">
      <alignment vertical="center"/>
    </xf>
    <xf numFmtId="178" fontId="24" fillId="9" borderId="24" xfId="6" applyNumberFormat="1" applyFont="1" applyFill="1" applyBorder="1" applyAlignment="1">
      <alignment horizontal="center" vertical="center" wrapText="1"/>
    </xf>
    <xf numFmtId="10" fontId="26" fillId="10" borderId="0" xfId="10" applyNumberFormat="1" applyFont="1" applyFill="1">
      <alignment vertical="center"/>
    </xf>
    <xf numFmtId="10" fontId="26" fillId="9" borderId="0" xfId="10" applyNumberFormat="1" applyFont="1" applyFill="1">
      <alignment vertical="center"/>
    </xf>
    <xf numFmtId="10" fontId="23" fillId="10" borderId="0" xfId="10" applyNumberFormat="1" applyFont="1" applyFill="1">
      <alignment vertical="center"/>
    </xf>
    <xf numFmtId="10" fontId="19" fillId="10" borderId="23" xfId="10" applyNumberFormat="1" applyFont="1" applyFill="1" applyBorder="1" applyAlignment="1">
      <alignment horizontal="center" vertical="center"/>
    </xf>
    <xf numFmtId="178" fontId="21" fillId="6" borderId="16" xfId="3" applyNumberFormat="1" applyFont="1" applyFill="1" applyBorder="1" applyAlignment="1">
      <alignment horizontal="center" vertical="center" wrapText="1"/>
    </xf>
    <xf numFmtId="0" fontId="21" fillId="6" borderId="17" xfId="2" applyFont="1" applyFill="1" applyBorder="1">
      <alignment vertical="center"/>
    </xf>
    <xf numFmtId="178" fontId="21" fillId="6" borderId="19" xfId="3" applyNumberFormat="1" applyFont="1" applyFill="1" applyBorder="1" applyAlignment="1">
      <alignment horizontal="center" vertical="center" wrapText="1"/>
    </xf>
    <xf numFmtId="0" fontId="21" fillId="6" borderId="34" xfId="0" applyFont="1" applyFill="1" applyBorder="1" applyAlignment="1">
      <alignment horizontal="left" vertical="center"/>
    </xf>
    <xf numFmtId="10" fontId="21" fillId="6" borderId="17" xfId="0" applyNumberFormat="1" applyFont="1" applyFill="1" applyBorder="1" applyAlignment="1">
      <alignment horizontal="left" vertical="center"/>
    </xf>
    <xf numFmtId="10" fontId="19" fillId="12" borderId="24" xfId="0" applyNumberFormat="1" applyFont="1" applyFill="1" applyBorder="1" applyAlignment="1">
      <alignment horizontal="center" vertical="center"/>
    </xf>
    <xf numFmtId="0" fontId="26" fillId="4" borderId="0" xfId="0" applyFont="1" applyFill="1">
      <alignment vertical="center"/>
    </xf>
    <xf numFmtId="0" fontId="22" fillId="4" borderId="0" xfId="0" applyFont="1" applyFill="1">
      <alignment vertical="center"/>
    </xf>
    <xf numFmtId="0" fontId="23" fillId="4" borderId="0" xfId="10" applyFont="1" applyFill="1">
      <alignment vertical="center"/>
    </xf>
    <xf numFmtId="0" fontId="26" fillId="4" borderId="0" xfId="10" applyFont="1" applyFill="1">
      <alignment vertical="center"/>
    </xf>
    <xf numFmtId="0" fontId="6" fillId="4" borderId="0" xfId="0" applyFont="1" applyFill="1">
      <alignment vertical="center"/>
    </xf>
    <xf numFmtId="0" fontId="33" fillId="4" borderId="0" xfId="0" applyFont="1" applyFill="1">
      <alignment vertical="center"/>
    </xf>
    <xf numFmtId="0" fontId="13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52" fillId="4" borderId="0" xfId="0" applyFont="1" applyFill="1">
      <alignment vertical="center"/>
    </xf>
    <xf numFmtId="0" fontId="53" fillId="4" borderId="0" xfId="0" applyFont="1" applyFill="1">
      <alignment vertical="center"/>
    </xf>
    <xf numFmtId="0" fontId="19" fillId="4" borderId="0" xfId="0" applyFont="1" applyFill="1">
      <alignment vertical="center"/>
    </xf>
    <xf numFmtId="0" fontId="63" fillId="0" borderId="0" xfId="10">
      <alignment vertical="center"/>
    </xf>
    <xf numFmtId="0" fontId="63" fillId="0" borderId="37" xfId="10" applyBorder="1">
      <alignment vertical="center"/>
    </xf>
    <xf numFmtId="181" fontId="63" fillId="0" borderId="38" xfId="10" applyNumberFormat="1" applyBorder="1">
      <alignment vertical="center"/>
    </xf>
    <xf numFmtId="0" fontId="54" fillId="13" borderId="39" xfId="10" applyFont="1" applyFill="1" applyBorder="1">
      <alignment vertical="center"/>
    </xf>
    <xf numFmtId="182" fontId="54" fillId="13" borderId="39" xfId="10" applyNumberFormat="1" applyFont="1" applyFill="1" applyBorder="1" applyAlignment="1">
      <alignment horizontal="right" vertical="center"/>
    </xf>
    <xf numFmtId="178" fontId="27" fillId="12" borderId="24" xfId="4" applyNumberFormat="1" applyFont="1" applyFill="1" applyBorder="1" applyAlignment="1">
      <alignment horizontal="center" vertical="center" wrapText="1"/>
    </xf>
    <xf numFmtId="10" fontId="27" fillId="12" borderId="24" xfId="0" applyNumberFormat="1" applyFont="1" applyFill="1" applyBorder="1" applyAlignment="1">
      <alignment horizontal="center" vertical="center"/>
    </xf>
    <xf numFmtId="178" fontId="19" fillId="12" borderId="24" xfId="6" applyNumberFormat="1" applyFont="1" applyFill="1" applyBorder="1" applyAlignment="1">
      <alignment horizontal="center" vertical="center" wrapText="1"/>
    </xf>
    <xf numFmtId="0" fontId="21" fillId="6" borderId="0" xfId="2" applyFont="1" applyFill="1">
      <alignment vertical="center"/>
    </xf>
    <xf numFmtId="0" fontId="22" fillId="6" borderId="0" xfId="0" applyFont="1" applyFill="1" applyAlignment="1">
      <alignment horizontal="left" vertical="center"/>
    </xf>
    <xf numFmtId="0" fontId="8" fillId="7" borderId="40" xfId="0" applyFont="1" applyFill="1" applyBorder="1" applyAlignment="1">
      <alignment horizontal="left" vertical="center"/>
    </xf>
    <xf numFmtId="10" fontId="19" fillId="10" borderId="27" xfId="0" applyNumberFormat="1" applyFont="1" applyFill="1" applyBorder="1" applyAlignment="1">
      <alignment horizontal="left" vertical="center"/>
    </xf>
    <xf numFmtId="0" fontId="19" fillId="10" borderId="28" xfId="10" applyFont="1" applyFill="1" applyBorder="1" applyAlignment="1">
      <alignment horizontal="left" vertical="center" indent="1"/>
    </xf>
    <xf numFmtId="0" fontId="19" fillId="10" borderId="0" xfId="0" applyFont="1" applyFill="1">
      <alignment vertical="center"/>
    </xf>
    <xf numFmtId="10" fontId="19" fillId="10" borderId="0" xfId="10" applyNumberFormat="1" applyFont="1" applyFill="1">
      <alignment vertical="center"/>
    </xf>
    <xf numFmtId="10" fontId="19" fillId="10" borderId="0" xfId="0" applyNumberFormat="1" applyFont="1" applyFill="1">
      <alignment vertical="center"/>
    </xf>
    <xf numFmtId="0" fontId="21" fillId="6" borderId="23" xfId="0" applyFont="1" applyFill="1" applyBorder="1" applyAlignment="1">
      <alignment horizontal="left" vertical="center"/>
    </xf>
    <xf numFmtId="0" fontId="21" fillId="6" borderId="17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1" fillId="6" borderId="0" xfId="0" applyFont="1" applyFill="1" applyAlignment="1">
      <alignment horizontal="left" vertical="center"/>
    </xf>
    <xf numFmtId="0" fontId="30" fillId="10" borderId="23" xfId="0" applyFont="1" applyFill="1" applyBorder="1" applyAlignment="1">
      <alignment horizontal="left" vertical="center"/>
    </xf>
    <xf numFmtId="10" fontId="19" fillId="10" borderId="28" xfId="0" applyNumberFormat="1" applyFont="1" applyFill="1" applyBorder="1" applyAlignment="1">
      <alignment horizontal="left" vertical="center"/>
    </xf>
    <xf numFmtId="0" fontId="30" fillId="10" borderId="23" xfId="2" applyFont="1" applyFill="1" applyBorder="1">
      <alignment vertical="center"/>
    </xf>
    <xf numFmtId="10" fontId="23" fillId="9" borderId="23" xfId="0" applyNumberFormat="1" applyFont="1" applyFill="1" applyBorder="1" applyAlignment="1">
      <alignment horizontal="center" vertical="center"/>
    </xf>
    <xf numFmtId="10" fontId="51" fillId="10" borderId="0" xfId="0" applyNumberFormat="1" applyFont="1" applyFill="1">
      <alignment vertical="center"/>
    </xf>
    <xf numFmtId="0" fontId="51" fillId="4" borderId="0" xfId="0" applyFont="1" applyFill="1">
      <alignment vertical="center"/>
    </xf>
    <xf numFmtId="10" fontId="19" fillId="10" borderId="2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left" vertical="center" indent="1"/>
    </xf>
    <xf numFmtId="10" fontId="22" fillId="4" borderId="0" xfId="0" applyNumberFormat="1" applyFont="1" applyFill="1">
      <alignment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vertical="center" indent="1"/>
    </xf>
    <xf numFmtId="178" fontId="27" fillId="12" borderId="24" xfId="6" applyNumberFormat="1" applyFont="1" applyFill="1" applyBorder="1" applyAlignment="1">
      <alignment horizontal="center" vertical="center" wrapText="1"/>
    </xf>
    <xf numFmtId="178" fontId="24" fillId="9" borderId="16" xfId="5" applyNumberFormat="1" applyFont="1" applyFill="1" applyBorder="1" applyAlignment="1">
      <alignment horizontal="center" vertical="center" wrapText="1"/>
    </xf>
    <xf numFmtId="10" fontId="23" fillId="9" borderId="28" xfId="0" applyNumberFormat="1" applyFont="1" applyFill="1" applyBorder="1" applyAlignment="1">
      <alignment horizontal="left" vertical="center"/>
    </xf>
    <xf numFmtId="178" fontId="24" fillId="9" borderId="24" xfId="3" applyNumberFormat="1" applyFont="1" applyFill="1" applyBorder="1" applyAlignment="1">
      <alignment horizontal="center" vertical="center" wrapText="1"/>
    </xf>
    <xf numFmtId="178" fontId="27" fillId="10" borderId="16" xfId="5" applyNumberFormat="1" applyFont="1" applyFill="1" applyBorder="1" applyAlignment="1">
      <alignment horizontal="center" vertical="center" wrapText="1"/>
    </xf>
    <xf numFmtId="178" fontId="24" fillId="9" borderId="24" xfId="0" applyNumberFormat="1" applyFont="1" applyFill="1" applyBorder="1" applyAlignment="1">
      <alignment horizontal="center" vertical="center"/>
    </xf>
    <xf numFmtId="178" fontId="27" fillId="10" borderId="24" xfId="3" applyNumberFormat="1" applyFont="1" applyFill="1" applyBorder="1" applyAlignment="1">
      <alignment horizontal="center" vertical="center" wrapText="1"/>
    </xf>
    <xf numFmtId="178" fontId="27" fillId="12" borderId="24" xfId="3" applyNumberFormat="1" applyFont="1" applyFill="1" applyBorder="1" applyAlignment="1">
      <alignment horizontal="center" vertical="center" wrapText="1"/>
    </xf>
    <xf numFmtId="0" fontId="27" fillId="10" borderId="21" xfId="10" applyFont="1" applyFill="1" applyBorder="1" applyAlignment="1">
      <alignment horizontal="left" vertical="center"/>
    </xf>
    <xf numFmtId="0" fontId="19" fillId="10" borderId="21" xfId="10" applyFont="1" applyFill="1" applyBorder="1" applyAlignment="1">
      <alignment horizontal="center" vertical="center"/>
    </xf>
    <xf numFmtId="10" fontId="27" fillId="10" borderId="22" xfId="10" applyNumberFormat="1" applyFont="1" applyFill="1" applyBorder="1" applyAlignment="1">
      <alignment horizontal="left" vertical="center"/>
    </xf>
    <xf numFmtId="0" fontId="27" fillId="10" borderId="23" xfId="10" applyFont="1" applyFill="1" applyBorder="1" applyAlignment="1">
      <alignment horizontal="left" vertical="center"/>
    </xf>
    <xf numFmtId="10" fontId="27" fillId="12" borderId="24" xfId="10" applyNumberFormat="1" applyFont="1" applyFill="1" applyBorder="1" applyAlignment="1">
      <alignment horizontal="center" vertical="center"/>
    </xf>
    <xf numFmtId="10" fontId="27" fillId="10" borderId="25" xfId="10" applyNumberFormat="1" applyFont="1" applyFill="1" applyBorder="1" applyAlignment="1">
      <alignment horizontal="center" vertical="center"/>
    </xf>
    <xf numFmtId="0" fontId="21" fillId="6" borderId="35" xfId="0" applyFont="1" applyFill="1" applyBorder="1" applyAlignment="1">
      <alignment horizontal="center" vertical="center"/>
    </xf>
    <xf numFmtId="0" fontId="21" fillId="6" borderId="36" xfId="0" applyFont="1" applyFill="1" applyBorder="1" applyAlignment="1">
      <alignment horizontal="left" vertical="center"/>
    </xf>
    <xf numFmtId="0" fontId="9" fillId="6" borderId="19" xfId="0" applyFont="1" applyFill="1" applyBorder="1" applyAlignment="1">
      <alignment horizontal="center" vertical="center"/>
    </xf>
    <xf numFmtId="10" fontId="19" fillId="10" borderId="24" xfId="10" applyNumberFormat="1" applyFont="1" applyFill="1" applyBorder="1" applyAlignment="1">
      <alignment horizontal="center" vertical="center"/>
    </xf>
    <xf numFmtId="10" fontId="27" fillId="10" borderId="24" xfId="10" applyNumberFormat="1" applyFont="1" applyFill="1" applyBorder="1" applyAlignment="1">
      <alignment horizontal="center" vertical="center"/>
    </xf>
    <xf numFmtId="0" fontId="19" fillId="10" borderId="27" xfId="10" applyFont="1" applyFill="1" applyBorder="1" applyAlignment="1">
      <alignment horizontal="left" vertical="center" indent="1"/>
    </xf>
    <xf numFmtId="0" fontId="24" fillId="9" borderId="21" xfId="10" applyFont="1" applyFill="1" applyBorder="1" applyAlignment="1">
      <alignment horizontal="center" vertical="center"/>
    </xf>
    <xf numFmtId="10" fontId="24" fillId="9" borderId="24" xfId="10" applyNumberFormat="1" applyFont="1" applyFill="1" applyBorder="1" applyAlignment="1">
      <alignment horizontal="center" vertical="center"/>
    </xf>
    <xf numFmtId="10" fontId="23" fillId="9" borderId="23" xfId="10" applyNumberFormat="1" applyFont="1" applyFill="1" applyBorder="1" applyAlignment="1">
      <alignment horizontal="center" vertical="center"/>
    </xf>
    <xf numFmtId="10" fontId="24" fillId="9" borderId="21" xfId="10" applyNumberFormat="1" applyFont="1" applyFill="1" applyBorder="1" applyAlignment="1">
      <alignment horizontal="center" vertical="center"/>
    </xf>
    <xf numFmtId="10" fontId="24" fillId="9" borderId="25" xfId="10" applyNumberFormat="1" applyFont="1" applyFill="1" applyBorder="1" applyAlignment="1">
      <alignment horizontal="center" vertical="center"/>
    </xf>
    <xf numFmtId="10" fontId="25" fillId="9" borderId="26" xfId="10" applyNumberFormat="1" applyFont="1" applyFill="1" applyBorder="1" applyAlignment="1">
      <alignment horizontal="center" vertical="center"/>
    </xf>
    <xf numFmtId="0" fontId="23" fillId="9" borderId="28" xfId="10" applyFont="1" applyFill="1" applyBorder="1" applyAlignment="1">
      <alignment horizontal="left" vertical="center" indent="1"/>
    </xf>
    <xf numFmtId="0" fontId="30" fillId="10" borderId="23" xfId="10" applyFont="1" applyFill="1" applyBorder="1" applyAlignment="1">
      <alignment horizontal="left" vertical="center"/>
    </xf>
    <xf numFmtId="10" fontId="68" fillId="2" borderId="26" xfId="0" applyNumberFormat="1" applyFont="1" applyFill="1" applyBorder="1" applyAlignment="1">
      <alignment horizontal="center" vertical="center"/>
    </xf>
    <xf numFmtId="178" fontId="34" fillId="10" borderId="24" xfId="4" applyNumberFormat="1" applyFont="1" applyFill="1" applyBorder="1" applyAlignment="1">
      <alignment horizontal="center" vertical="center" wrapText="1"/>
    </xf>
    <xf numFmtId="0" fontId="69" fillId="10" borderId="23" xfId="0" applyFont="1" applyFill="1" applyBorder="1" applyAlignment="1">
      <alignment horizontal="left" vertical="center"/>
    </xf>
    <xf numFmtId="0" fontId="30" fillId="10" borderId="21" xfId="0" applyFont="1" applyFill="1" applyBorder="1" applyAlignment="1">
      <alignment horizontal="left" vertical="center"/>
    </xf>
    <xf numFmtId="0" fontId="30" fillId="10" borderId="21" xfId="0" applyFont="1" applyFill="1" applyBorder="1" applyAlignment="1">
      <alignment horizontal="center" vertical="center"/>
    </xf>
    <xf numFmtId="0" fontId="26" fillId="10" borderId="21" xfId="0" applyFont="1" applyFill="1" applyBorder="1" applyAlignment="1">
      <alignment horizontal="center" vertical="center"/>
    </xf>
    <xf numFmtId="178" fontId="53" fillId="10" borderId="24" xfId="4" applyNumberFormat="1" applyFont="1" applyFill="1" applyBorder="1" applyAlignment="1">
      <alignment horizontal="center" vertical="center" wrapText="1"/>
    </xf>
    <xf numFmtId="178" fontId="30" fillId="10" borderId="24" xfId="5" applyNumberFormat="1" applyFont="1" applyFill="1" applyBorder="1" applyAlignment="1">
      <alignment horizontal="center" vertical="center" wrapText="1"/>
    </xf>
    <xf numFmtId="10" fontId="30" fillId="10" borderId="24" xfId="0" applyNumberFormat="1" applyFont="1" applyFill="1" applyBorder="1" applyAlignment="1">
      <alignment horizontal="center" vertical="center"/>
    </xf>
    <xf numFmtId="178" fontId="30" fillId="12" borderId="24" xfId="6" applyNumberFormat="1" applyFont="1" applyFill="1" applyBorder="1" applyAlignment="1">
      <alignment horizontal="center" vertical="center" wrapText="1"/>
    </xf>
    <xf numFmtId="10" fontId="30" fillId="12" borderId="24" xfId="0" applyNumberFormat="1" applyFont="1" applyFill="1" applyBorder="1" applyAlignment="1">
      <alignment horizontal="center" vertical="center"/>
    </xf>
    <xf numFmtId="10" fontId="26" fillId="10" borderId="23" xfId="0" applyNumberFormat="1" applyFont="1" applyFill="1" applyBorder="1" applyAlignment="1">
      <alignment horizontal="center" vertical="center"/>
    </xf>
    <xf numFmtId="10" fontId="30" fillId="10" borderId="25" xfId="0" applyNumberFormat="1" applyFont="1" applyFill="1" applyBorder="1" applyAlignment="1">
      <alignment horizontal="center" vertical="center"/>
    </xf>
    <xf numFmtId="10" fontId="30" fillId="10" borderId="21" xfId="0" applyNumberFormat="1" applyFont="1" applyFill="1" applyBorder="1" applyAlignment="1">
      <alignment horizontal="center" vertical="center"/>
    </xf>
    <xf numFmtId="10" fontId="70" fillId="2" borderId="26" xfId="0" applyNumberFormat="1" applyFont="1" applyFill="1" applyBorder="1" applyAlignment="1">
      <alignment horizontal="center" vertical="center"/>
    </xf>
    <xf numFmtId="10" fontId="26" fillId="10" borderId="28" xfId="0" applyNumberFormat="1" applyFont="1" applyFill="1" applyBorder="1" applyAlignment="1">
      <alignment horizontal="left" vertical="center"/>
    </xf>
    <xf numFmtId="10" fontId="71" fillId="10" borderId="26" xfId="0" applyNumberFormat="1" applyFont="1" applyFill="1" applyBorder="1" applyAlignment="1">
      <alignment horizontal="center" vertical="center"/>
    </xf>
    <xf numFmtId="10" fontId="30" fillId="10" borderId="22" xfId="0" applyNumberFormat="1" applyFont="1" applyFill="1" applyBorder="1" applyAlignment="1">
      <alignment horizontal="left" vertical="center"/>
    </xf>
    <xf numFmtId="10" fontId="26" fillId="10" borderId="24" xfId="0" applyNumberFormat="1" applyFont="1" applyFill="1" applyBorder="1" applyAlignment="1">
      <alignment horizontal="center" vertical="center"/>
    </xf>
    <xf numFmtId="10" fontId="26" fillId="10" borderId="27" xfId="0" applyNumberFormat="1" applyFont="1" applyFill="1" applyBorder="1" applyAlignment="1">
      <alignment horizontal="left" vertical="center"/>
    </xf>
    <xf numFmtId="0" fontId="26" fillId="10" borderId="27" xfId="0" applyFont="1" applyFill="1" applyBorder="1" applyAlignment="1">
      <alignment horizontal="left" vertical="center" indent="1"/>
    </xf>
    <xf numFmtId="178" fontId="30" fillId="10" borderId="24" xfId="4" applyNumberFormat="1" applyFont="1" applyFill="1" applyBorder="1" applyAlignment="1">
      <alignment horizontal="center" vertical="center" wrapText="1"/>
    </xf>
    <xf numFmtId="0" fontId="63" fillId="0" borderId="0" xfId="0" applyFont="1">
      <alignment vertical="center"/>
    </xf>
    <xf numFmtId="10" fontId="0" fillId="0" borderId="49" xfId="0" applyNumberFormat="1" applyBorder="1">
      <alignment vertical="center"/>
    </xf>
    <xf numFmtId="0" fontId="63" fillId="0" borderId="56" xfId="0" applyFont="1" applyBorder="1" applyAlignment="1">
      <alignment horizontal="center" vertical="center"/>
    </xf>
    <xf numFmtId="10" fontId="0" fillId="0" borderId="57" xfId="0" applyNumberFormat="1" applyBorder="1">
      <alignment vertical="center"/>
    </xf>
    <xf numFmtId="0" fontId="63" fillId="0" borderId="58" xfId="0" applyFont="1" applyBorder="1" applyAlignment="1">
      <alignment horizontal="center" vertical="center"/>
    </xf>
    <xf numFmtId="10" fontId="0" fillId="0" borderId="59" xfId="0" applyNumberFormat="1" applyBorder="1">
      <alignment vertical="center"/>
    </xf>
    <xf numFmtId="10" fontId="0" fillId="0" borderId="60" xfId="0" applyNumberFormat="1" applyBorder="1">
      <alignment vertical="center"/>
    </xf>
    <xf numFmtId="0" fontId="63" fillId="0" borderId="54" xfId="0" applyFont="1" applyBorder="1" applyAlignment="1">
      <alignment horizontal="center" vertical="center"/>
    </xf>
    <xf numFmtId="10" fontId="0" fillId="0" borderId="50" xfId="0" applyNumberFormat="1" applyBorder="1">
      <alignment vertical="center"/>
    </xf>
    <xf numFmtId="10" fontId="0" fillId="0" borderId="55" xfId="0" applyNumberFormat="1" applyBorder="1">
      <alignment vertical="center"/>
    </xf>
    <xf numFmtId="0" fontId="63" fillId="0" borderId="62" xfId="0" applyFont="1" applyBorder="1" applyAlignment="1">
      <alignment horizontal="center" vertical="center"/>
    </xf>
    <xf numFmtId="178" fontId="72" fillId="10" borderId="24" xfId="4" applyNumberFormat="1" applyFont="1" applyFill="1" applyBorder="1" applyAlignment="1">
      <alignment horizontal="center" vertical="center" wrapText="1"/>
    </xf>
    <xf numFmtId="178" fontId="73" fillId="10" borderId="24" xfId="4" applyNumberFormat="1" applyFont="1" applyFill="1" applyBorder="1" applyAlignment="1">
      <alignment horizontal="center" vertical="center" wrapText="1"/>
    </xf>
    <xf numFmtId="0" fontId="58" fillId="7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60" fillId="6" borderId="45" xfId="0" applyFont="1" applyFill="1" applyBorder="1" applyAlignment="1">
      <alignment horizontal="center" vertical="center"/>
    </xf>
    <xf numFmtId="0" fontId="60" fillId="6" borderId="46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/>
    </xf>
    <xf numFmtId="0" fontId="20" fillId="5" borderId="47" xfId="0" applyFont="1" applyFill="1" applyBorder="1">
      <alignment vertical="center"/>
    </xf>
    <xf numFmtId="10" fontId="20" fillId="5" borderId="47" xfId="0" applyNumberFormat="1" applyFont="1" applyFill="1" applyBorder="1" applyAlignment="1">
      <alignment horizontal="center" vertical="center" wrapText="1"/>
    </xf>
    <xf numFmtId="10" fontId="20" fillId="5" borderId="2" xfId="0" applyNumberFormat="1" applyFont="1" applyFill="1" applyBorder="1" applyAlignment="1">
      <alignment horizontal="center" vertical="center"/>
    </xf>
    <xf numFmtId="10" fontId="20" fillId="5" borderId="47" xfId="0" applyNumberFormat="1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2" fillId="4" borderId="41" xfId="9" applyFont="1" applyFill="1" applyBorder="1" applyAlignment="1">
      <alignment horizontal="left" vertical="center" wrapText="1"/>
    </xf>
    <xf numFmtId="0" fontId="67" fillId="0" borderId="0" xfId="0" applyFont="1" applyAlignment="1">
      <alignment horizontal="center" vertical="center"/>
    </xf>
    <xf numFmtId="0" fontId="55" fillId="4" borderId="0" xfId="9" applyFont="1" applyFill="1" applyAlignment="1">
      <alignment horizontal="left" vertical="center"/>
    </xf>
    <xf numFmtId="0" fontId="56" fillId="4" borderId="0" xfId="9" applyFont="1" applyFill="1" applyAlignment="1">
      <alignment horizontal="center" vertical="center" wrapText="1"/>
    </xf>
    <xf numFmtId="0" fontId="57" fillId="4" borderId="0" xfId="9" applyFont="1" applyFill="1" applyAlignment="1">
      <alignment horizontal="left" vertical="center" wrapText="1"/>
    </xf>
    <xf numFmtId="0" fontId="2" fillId="4" borderId="30" xfId="9" applyFont="1" applyFill="1" applyBorder="1" applyAlignment="1">
      <alignment horizontal="left" vertical="center" wrapText="1"/>
    </xf>
    <xf numFmtId="0" fontId="63" fillId="0" borderId="51" xfId="0" applyFont="1" applyBorder="1" applyAlignment="1">
      <alignment horizontal="center" vertical="center"/>
    </xf>
    <xf numFmtId="0" fontId="63" fillId="0" borderId="61" xfId="0" applyFont="1" applyBorder="1" applyAlignment="1">
      <alignment horizontal="center" vertical="center"/>
    </xf>
    <xf numFmtId="0" fontId="63" fillId="0" borderId="53" xfId="0" applyFont="1" applyBorder="1" applyAlignment="1">
      <alignment horizontal="center" vertical="center"/>
    </xf>
    <xf numFmtId="0" fontId="63" fillId="0" borderId="63" xfId="0" applyFont="1" applyBorder="1" applyAlignment="1">
      <alignment horizontal="center" vertical="center"/>
    </xf>
    <xf numFmtId="0" fontId="63" fillId="0" borderId="52" xfId="0" applyFont="1" applyBorder="1" applyAlignment="1">
      <alignment horizontal="center" vertical="center"/>
    </xf>
    <xf numFmtId="0" fontId="61" fillId="5" borderId="0" xfId="10" applyFont="1" applyFill="1" applyAlignment="1">
      <alignment horizontal="center" vertical="center"/>
    </xf>
  </cellXfs>
  <cellStyles count="18">
    <cellStyle name="나쁨 2" xfId="8" xr:uid="{00000000-0005-0000-0000-000008000000}"/>
    <cellStyle name="백분율 2" xfId="7" xr:uid="{00000000-0005-0000-0000-000007000000}"/>
    <cellStyle name="쉼표 [0]" xfId="1" xr:uid="{00000000-0005-0000-0000-000001000000}"/>
    <cellStyle name="표준" xfId="0" builtinId="0"/>
    <cellStyle name="표준 19" xfId="15" xr:uid="{49D08350-A59A-456D-8602-11F86F57154A}"/>
    <cellStyle name="표준 2 10 2" xfId="16" xr:uid="{34EB354E-994F-41DA-BFFA-70ED522545DC}"/>
    <cellStyle name="표준 2 2 2" xfId="14" xr:uid="{2040C253-3E4E-48D2-8EC1-E5B93274C36B}"/>
    <cellStyle name="표준 2 2 3" xfId="10" xr:uid="{00000000-0005-0000-0000-00000A000000}"/>
    <cellStyle name="표준 2 7" xfId="17" xr:uid="{9E9E0A82-82F7-4D2F-9271-62207F09D4C6}"/>
    <cellStyle name="표준 3 2 2" xfId="9" xr:uid="{00000000-0005-0000-0000-000009000000}"/>
    <cellStyle name="표준 4 12" xfId="11" xr:uid="{00000000-0005-0000-0000-00000B000000}"/>
    <cellStyle name="표준 4 2" xfId="13" xr:uid="{28C48C0A-6A19-408B-A54B-DA51DC3398C6}"/>
    <cellStyle name="표준 4 2 2 5 5 11 3 2" xfId="3" xr:uid="{00000000-0005-0000-0000-000003000000}"/>
    <cellStyle name="표준 4 2 2 5 5 2 9 3 2" xfId="6" xr:uid="{00000000-0005-0000-0000-000006000000}"/>
    <cellStyle name="표준 4 2 2 5 5 4 8 3 2" xfId="4" xr:uid="{00000000-0005-0000-0000-000004000000}"/>
    <cellStyle name="표준 4 2 2 5 7 8 3 2" xfId="5" xr:uid="{00000000-0005-0000-0000-000005000000}"/>
    <cellStyle name="표준_면세점 리뉴얼 일정표_WBS" xfId="2" xr:uid="{00000000-0005-0000-0000-000002000000}"/>
    <cellStyle name="하이퍼링크 2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9</xdr:row>
      <xdr:rowOff>0</xdr:rowOff>
    </xdr:from>
    <xdr:to>
      <xdr:col>8</xdr:col>
      <xdr:colOff>171449</xdr:colOff>
      <xdr:row>9</xdr:row>
      <xdr:rowOff>0</xdr:rowOff>
    </xdr:to>
    <xdr:grpSp>
      <xdr:nvGrpSpPr>
        <xdr:cNvPr id="2" name="그룹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00150" y="2905125"/>
          <a:ext cx="7658099" cy="0"/>
          <a:chOff x="2" y="473695"/>
          <a:chExt cx="9906001" cy="0"/>
        </a:xfrm>
      </xdr:grpSpPr>
      <xdr:cxnSp macro="">
        <xdr:nvCxnSpPr>
          <xdr:cNvPr id="5" name="직선 연결선[R]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7394946" y="473695"/>
            <a:ext cx="2511057" cy="0"/>
          </a:xfrm>
          <a:prstGeom prst="line">
            <a:avLst/>
          </a:prstGeom>
          <a:ln>
            <a:solidFill>
              <a:schemeClr val="accent1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연결선[R] 2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H="1">
            <a:off x="2" y="473695"/>
            <a:ext cx="7394944" cy="0"/>
          </a:xfrm>
          <a:prstGeom prst="line">
            <a:avLst/>
          </a:prstGeom>
          <a:ln>
            <a:solidFill>
              <a:schemeClr val="accent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476250</xdr:colOff>
      <xdr:row>43</xdr:row>
      <xdr:rowOff>95250</xdr:rowOff>
    </xdr:from>
    <xdr:to>
      <xdr:col>1</xdr:col>
      <xdr:colOff>342899</xdr:colOff>
      <xdr:row>45</xdr:row>
      <xdr:rowOff>114300</xdr:rowOff>
    </xdr:to>
    <xdr:pic>
      <xdr:nvPicPr>
        <xdr:cNvPr id="3" name="그림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76250" y="10296525"/>
          <a:ext cx="95250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3181350</xdr:colOff>
      <xdr:row>0</xdr:row>
      <xdr:rowOff>57150</xdr:rowOff>
    </xdr:from>
    <xdr:to>
      <xdr:col>7</xdr:col>
      <xdr:colOff>38100</xdr:colOff>
      <xdr:row>0</xdr:row>
      <xdr:rowOff>266700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39025" y="57150"/>
          <a:ext cx="2705100" cy="2095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kumimoji="1" lang="ko-KR" altLang="en-US" sz="813" spc="-123" baseline="0">
              <a:solidFill>
                <a:schemeClr val="tx1">
                  <a:lumMod val="50000"/>
                  <a:lumOff val="50000"/>
                </a:schemeClr>
              </a:solidFill>
              <a:latin typeface="+mn-ea"/>
              <a:ea typeface="+mn-ea"/>
            </a:rPr>
            <a:t>차세대 지급결제플랫폼 구축</a:t>
          </a: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819150</xdr:colOff>
      <xdr:row>1</xdr:row>
      <xdr:rowOff>0</xdr:rowOff>
    </xdr:to>
    <xdr:grpSp>
      <xdr:nvGrpSpPr>
        <xdr:cNvPr id="3" name="그룹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0" y="381000"/>
          <a:ext cx="10077450" cy="0"/>
          <a:chOff x="2" y="473695"/>
          <a:chExt cx="9906001" cy="0"/>
        </a:xfrm>
      </xdr:grpSpPr>
      <xdr:cxnSp macro="">
        <xdr:nvCxnSpPr>
          <xdr:cNvPr id="10" name="직선 연결선[R] 3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 flipH="1">
            <a:off x="7394946" y="473695"/>
            <a:ext cx="2511057" cy="0"/>
          </a:xfrm>
          <a:prstGeom prst="line">
            <a:avLst/>
          </a:prstGeom>
          <a:ln>
            <a:solidFill>
              <a:schemeClr val="accent1">
                <a:lumMod val="60000"/>
                <a:lumOff val="4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직선 연결선[R] 23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 flipH="1">
            <a:off x="2" y="473695"/>
            <a:ext cx="7394944" cy="0"/>
          </a:xfrm>
          <a:prstGeom prst="line">
            <a:avLst/>
          </a:prstGeom>
          <a:ln>
            <a:solidFill>
              <a:schemeClr val="accent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48;&#48708;&#51088;%20&#45936;&#51060;&#53552;%20&#48516;&#49437;%20&#49324;&#50629;/KOMSCO_&#49548;&#48708;&#45936;&#51060;&#53552;_&#50836;&#44396;&#49324;&#54637;&#51221;&#51032;&#49436;_v0.5_202603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작성가이드"/>
      <sheetName val="요구사항정의서_작업용"/>
      <sheetName val="범례"/>
      <sheetName val="집계_"/>
    </sheetNames>
    <sheetDataSet>
      <sheetData sheetId="0"/>
      <sheetData sheetId="1"/>
      <sheetData sheetId="2"/>
      <sheetData sheetId="3"/>
      <sheetData sheetId="4"/>
      <sheetData sheetId="5">
        <row r="7">
          <cell r="D7" t="str">
            <v>완료</v>
          </cell>
          <cell r="F7" t="str">
            <v>신규</v>
          </cell>
          <cell r="I7" t="str">
            <v>수용</v>
          </cell>
        </row>
        <row r="8">
          <cell r="D8" t="str">
            <v>진행중</v>
          </cell>
          <cell r="F8" t="str">
            <v>제외</v>
          </cell>
          <cell r="I8" t="str">
            <v>부분수용</v>
          </cell>
        </row>
        <row r="9">
          <cell r="D9" t="str">
            <v>보류</v>
          </cell>
          <cell r="F9" t="str">
            <v>변경</v>
          </cell>
          <cell r="I9" t="str">
            <v>미수용</v>
          </cell>
        </row>
        <row r="10">
          <cell r="D10" t="str">
            <v>변경</v>
          </cell>
          <cell r="F10" t="str">
            <v>중복</v>
          </cell>
          <cell r="I10" t="str">
            <v>조건부수용</v>
          </cell>
        </row>
        <row r="11">
          <cell r="D11" t="str">
            <v>제외</v>
          </cell>
          <cell r="I11" t="str">
            <v>검토중</v>
          </cell>
        </row>
        <row r="12">
          <cell r="I12" t="str">
            <v>제외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안호 김" id="{A0C07B45-84B0-4D3E-9EA7-188C304BA804}" userId="35de203dce10492a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3-25T13:14:20.29" personId="{A0C07B45-84B0-4D3E-9EA7-188C304BA804}" id="{886D0016-075B-48EA-92E0-045B02D6F0CB}">
    <text xml:space="preserve">분석/설계 단계(행 19~103) 안에서, WBS Dep=2이면서 수행사가 핑거인 항목들의 실적(X열)을 합산한 뒤,
분석/설계의 프로젝트 내 비중(30%)을 곱한다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11FA6A-0F46-4A65-87F3-751D2CF11088}">
  <we:reference id="wa200009404" version="1.0.0.5" store="ko-KR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4"/>
  <sheetViews>
    <sheetView view="pageBreakPreview" zoomScaleNormal="100" zoomScaleSheetLayoutView="100" workbookViewId="0">
      <selection activeCell="B4" sqref="B4:I6"/>
    </sheetView>
  </sheetViews>
  <sheetFormatPr defaultColWidth="8" defaultRowHeight="13.5" x14ac:dyDescent="0.3"/>
  <cols>
    <col min="1" max="9" width="14.25" style="130" customWidth="1"/>
    <col min="10" max="16384" width="8" style="130"/>
  </cols>
  <sheetData>
    <row r="1" spans="1:15" ht="14.25" x14ac:dyDescent="0.3">
      <c r="A1" s="131"/>
      <c r="B1" s="131"/>
    </row>
    <row r="2" spans="1:15" ht="16.5" x14ac:dyDescent="0.3">
      <c r="A2" s="132"/>
      <c r="B2" s="132"/>
      <c r="C2" s="132"/>
      <c r="D2" s="132"/>
      <c r="E2" s="132"/>
      <c r="F2" s="132"/>
      <c r="G2" s="132"/>
      <c r="H2" s="132"/>
    </row>
    <row r="3" spans="1:15" ht="16.5" x14ac:dyDescent="0.3">
      <c r="A3" s="132"/>
      <c r="B3" s="132"/>
      <c r="C3" s="132"/>
      <c r="D3" s="132"/>
      <c r="E3" s="132"/>
      <c r="F3" s="132"/>
      <c r="G3" s="132"/>
      <c r="H3" s="132"/>
    </row>
    <row r="4" spans="1:15" ht="16.5" customHeight="1" x14ac:dyDescent="0.3">
      <c r="A4" s="133"/>
      <c r="B4" s="325" t="s">
        <v>427</v>
      </c>
      <c r="C4" s="326"/>
      <c r="D4" s="326"/>
      <c r="E4" s="326"/>
      <c r="F4" s="326"/>
      <c r="G4" s="326"/>
      <c r="H4" s="326"/>
      <c r="I4" s="326"/>
    </row>
    <row r="5" spans="1:15" ht="16.5" customHeight="1" x14ac:dyDescent="0.3">
      <c r="A5" s="134"/>
      <c r="B5" s="326"/>
      <c r="C5" s="326"/>
      <c r="D5" s="326"/>
      <c r="E5" s="326"/>
      <c r="F5" s="326"/>
      <c r="G5" s="326"/>
      <c r="H5" s="326"/>
      <c r="I5" s="326"/>
    </row>
    <row r="6" spans="1:15" ht="16.5" customHeight="1" x14ac:dyDescent="0.3">
      <c r="A6" s="134"/>
      <c r="B6" s="326"/>
      <c r="C6" s="326"/>
      <c r="D6" s="326"/>
      <c r="E6" s="326"/>
      <c r="F6" s="326"/>
      <c r="G6" s="326"/>
      <c r="H6" s="326"/>
      <c r="I6" s="326"/>
    </row>
    <row r="7" spans="1:15" ht="66" customHeight="1" x14ac:dyDescent="0.3">
      <c r="A7" s="135"/>
      <c r="B7" s="327"/>
      <c r="C7" s="327"/>
      <c r="D7" s="327"/>
      <c r="E7" s="327"/>
      <c r="F7" s="327"/>
      <c r="G7" s="327"/>
      <c r="H7" s="327"/>
      <c r="I7" s="135"/>
      <c r="J7" s="136"/>
      <c r="K7" s="136"/>
      <c r="L7" s="136"/>
      <c r="M7" s="136"/>
      <c r="N7" s="136"/>
      <c r="O7" s="136"/>
    </row>
    <row r="8" spans="1:15" ht="50.1" customHeight="1" x14ac:dyDescent="0.3">
      <c r="A8" s="137"/>
      <c r="B8" s="328" t="s">
        <v>584</v>
      </c>
      <c r="C8" s="328"/>
      <c r="D8" s="328"/>
      <c r="E8" s="328"/>
      <c r="F8" s="328"/>
      <c r="G8" s="328"/>
      <c r="H8" s="328"/>
      <c r="I8" s="137"/>
    </row>
    <row r="9" spans="1:15" ht="16.5" x14ac:dyDescent="0.3">
      <c r="A9" s="132"/>
      <c r="B9" s="132"/>
      <c r="C9" s="132"/>
      <c r="D9" s="132"/>
      <c r="E9" s="132"/>
      <c r="F9" s="132"/>
      <c r="G9" s="132"/>
      <c r="H9" s="132"/>
      <c r="I9" s="138"/>
    </row>
    <row r="10" spans="1:15" ht="16.5" x14ac:dyDescent="0.3">
      <c r="A10" s="132"/>
      <c r="B10" s="132"/>
      <c r="C10" s="132"/>
      <c r="D10" s="132"/>
      <c r="E10" s="132"/>
      <c r="F10" s="132"/>
      <c r="G10" s="132"/>
      <c r="H10" s="132"/>
      <c r="I10" s="138"/>
    </row>
    <row r="11" spans="1:15" ht="16.5" x14ac:dyDescent="0.3">
      <c r="A11" s="132"/>
      <c r="B11" s="132"/>
      <c r="C11" s="132"/>
      <c r="D11" s="132"/>
      <c r="E11" s="132"/>
      <c r="F11" s="132"/>
      <c r="G11" s="132"/>
      <c r="H11" s="132"/>
      <c r="I11" s="138"/>
    </row>
    <row r="12" spans="1:15" ht="16.5" x14ac:dyDescent="0.3">
      <c r="A12" s="132"/>
      <c r="B12" s="132"/>
      <c r="C12" s="132"/>
      <c r="D12" s="132"/>
      <c r="E12" s="132"/>
      <c r="F12" s="132"/>
      <c r="G12" s="132"/>
      <c r="H12" s="132"/>
      <c r="I12" s="138"/>
    </row>
    <row r="13" spans="1:15" ht="16.5" x14ac:dyDescent="0.3">
      <c r="A13" s="132"/>
      <c r="B13" s="132"/>
      <c r="C13" s="132"/>
      <c r="D13" s="132"/>
      <c r="E13" s="132"/>
      <c r="F13" s="132"/>
      <c r="G13" s="132"/>
      <c r="H13" s="132"/>
      <c r="I13" s="138"/>
    </row>
    <row r="14" spans="1:15" ht="16.5" x14ac:dyDescent="0.3">
      <c r="A14" s="132"/>
      <c r="B14" s="132"/>
      <c r="C14" s="132"/>
      <c r="D14" s="132"/>
      <c r="E14" s="132"/>
      <c r="F14" s="132"/>
      <c r="G14" s="132"/>
      <c r="H14" s="132"/>
      <c r="I14" s="138"/>
    </row>
    <row r="15" spans="1:15" ht="16.5" x14ac:dyDescent="0.3">
      <c r="A15" s="132"/>
      <c r="B15" s="132"/>
      <c r="C15" s="132"/>
      <c r="D15" s="132"/>
      <c r="E15" s="132"/>
      <c r="F15" s="132"/>
      <c r="G15" s="132"/>
      <c r="H15" s="132"/>
      <c r="I15" s="138"/>
    </row>
    <row r="16" spans="1:15" ht="16.5" x14ac:dyDescent="0.3">
      <c r="A16" s="132"/>
      <c r="B16" s="132"/>
      <c r="C16" s="132"/>
      <c r="D16" s="132"/>
      <c r="E16" s="132"/>
      <c r="F16" s="132"/>
      <c r="G16" s="132"/>
      <c r="H16" s="132"/>
      <c r="I16" s="138"/>
    </row>
    <row r="17" spans="1:9" ht="16.5" x14ac:dyDescent="0.3">
      <c r="A17" s="132"/>
      <c r="B17" s="132"/>
      <c r="C17" s="132"/>
      <c r="D17" s="132"/>
      <c r="E17" s="132"/>
      <c r="F17" s="132"/>
      <c r="G17" s="132"/>
      <c r="H17" s="132"/>
      <c r="I17" s="138"/>
    </row>
    <row r="18" spans="1:9" ht="16.5" x14ac:dyDescent="0.3">
      <c r="A18" s="132"/>
      <c r="B18" s="132"/>
      <c r="C18" s="132"/>
      <c r="D18" s="132"/>
      <c r="E18" s="132"/>
      <c r="F18" s="132"/>
      <c r="G18" s="132"/>
      <c r="H18" s="132"/>
      <c r="I18" s="138"/>
    </row>
    <row r="19" spans="1:9" ht="16.5" x14ac:dyDescent="0.3">
      <c r="A19" s="132"/>
      <c r="B19" s="132"/>
      <c r="C19" s="132"/>
      <c r="D19" s="132"/>
      <c r="E19" s="132"/>
      <c r="F19" s="132"/>
      <c r="G19" s="132"/>
      <c r="H19" s="132"/>
      <c r="I19" s="138"/>
    </row>
    <row r="20" spans="1:9" ht="16.5" x14ac:dyDescent="0.3">
      <c r="A20" s="132"/>
      <c r="B20" s="132"/>
      <c r="C20" s="132"/>
      <c r="D20" s="132"/>
      <c r="E20" s="132"/>
      <c r="F20" s="132"/>
      <c r="G20" s="132"/>
      <c r="H20" s="132"/>
      <c r="I20" s="138"/>
    </row>
    <row r="21" spans="1:9" ht="16.5" x14ac:dyDescent="0.3">
      <c r="A21" s="132"/>
      <c r="B21" s="132"/>
      <c r="C21" s="132"/>
      <c r="D21" s="132"/>
      <c r="E21" s="132"/>
      <c r="F21" s="132"/>
      <c r="G21" s="132"/>
      <c r="H21" s="132"/>
      <c r="I21" s="138"/>
    </row>
    <row r="22" spans="1:9" ht="16.5" x14ac:dyDescent="0.3">
      <c r="A22" s="132"/>
      <c r="B22" s="132"/>
      <c r="C22" s="132"/>
      <c r="D22" s="132"/>
      <c r="E22" s="132"/>
      <c r="F22" s="132"/>
      <c r="G22" s="132"/>
      <c r="H22" s="132"/>
      <c r="I22" s="138"/>
    </row>
    <row r="23" spans="1:9" ht="16.5" x14ac:dyDescent="0.3">
      <c r="A23" s="132"/>
      <c r="B23" s="132"/>
      <c r="C23" s="132"/>
      <c r="D23" s="132"/>
      <c r="E23" s="132"/>
      <c r="F23" s="132"/>
      <c r="G23" s="132"/>
      <c r="H23" s="132"/>
      <c r="I23" s="131"/>
    </row>
    <row r="24" spans="1:9" x14ac:dyDescent="0.3">
      <c r="D24" s="139"/>
    </row>
    <row r="25" spans="1:9" x14ac:dyDescent="0.3">
      <c r="D25" s="139"/>
    </row>
    <row r="26" spans="1:9" x14ac:dyDescent="0.3">
      <c r="D26" s="139"/>
    </row>
    <row r="27" spans="1:9" x14ac:dyDescent="0.3">
      <c r="D27" s="139"/>
    </row>
    <row r="28" spans="1:9" x14ac:dyDescent="0.3">
      <c r="D28" s="139"/>
    </row>
    <row r="29" spans="1:9" x14ac:dyDescent="0.3">
      <c r="D29" s="139"/>
    </row>
    <row r="33" spans="1:9" ht="16.5" x14ac:dyDescent="0.3">
      <c r="A33" s="132"/>
      <c r="B33" s="132"/>
      <c r="C33" s="132"/>
      <c r="D33" s="132"/>
      <c r="E33" s="132"/>
      <c r="F33" s="132"/>
      <c r="G33" s="132"/>
      <c r="H33" s="132"/>
      <c r="I33" s="131"/>
    </row>
    <row r="34" spans="1:9" x14ac:dyDescent="0.3">
      <c r="D34" s="140"/>
    </row>
    <row r="37" spans="1:9" ht="20.100000000000001" customHeight="1" x14ac:dyDescent="0.3">
      <c r="D37" s="141"/>
      <c r="E37" s="142"/>
      <c r="F37" s="142"/>
      <c r="G37" s="143"/>
    </row>
    <row r="38" spans="1:9" ht="20.100000000000001" customHeight="1" x14ac:dyDescent="0.3">
      <c r="D38" s="141"/>
      <c r="E38" s="142"/>
      <c r="F38" s="142"/>
      <c r="G38" s="143"/>
    </row>
    <row r="39" spans="1:9" ht="20.100000000000001" customHeight="1" x14ac:dyDescent="0.3">
      <c r="D39" s="141"/>
      <c r="E39" s="144"/>
      <c r="F39" s="142"/>
      <c r="G39" s="143"/>
    </row>
    <row r="40" spans="1:9" s="129" customFormat="1" ht="24.75" customHeight="1" x14ac:dyDescent="0.3">
      <c r="D40" s="145"/>
      <c r="E40" s="146"/>
      <c r="F40" s="147" t="s">
        <v>76</v>
      </c>
      <c r="G40" s="329" t="s">
        <v>426</v>
      </c>
      <c r="H40" s="329"/>
    </row>
    <row r="41" spans="1:9" s="129" customFormat="1" ht="25.35" customHeight="1" x14ac:dyDescent="0.3">
      <c r="D41" s="148"/>
      <c r="F41" s="147" t="s">
        <v>191</v>
      </c>
      <c r="G41" s="324" t="s">
        <v>571</v>
      </c>
      <c r="H41" s="324"/>
    </row>
    <row r="42" spans="1:9" s="129" customFormat="1" ht="25.35" customHeight="1" x14ac:dyDescent="0.3">
      <c r="F42" s="147" t="s">
        <v>62</v>
      </c>
      <c r="G42" s="323">
        <v>46106</v>
      </c>
      <c r="H42" s="324"/>
    </row>
    <row r="43" spans="1:9" s="129" customFormat="1" ht="25.35" customHeight="1" x14ac:dyDescent="0.3">
      <c r="D43" s="148"/>
      <c r="F43" s="147" t="s">
        <v>71</v>
      </c>
      <c r="G43" s="324" t="s">
        <v>184</v>
      </c>
      <c r="H43" s="324"/>
    </row>
    <row r="44" spans="1:9" x14ac:dyDescent="0.3">
      <c r="D44" s="139"/>
    </row>
  </sheetData>
  <mergeCells count="7">
    <mergeCell ref="G42:H42"/>
    <mergeCell ref="G43:H43"/>
    <mergeCell ref="B4:I6"/>
    <mergeCell ref="B7:H7"/>
    <mergeCell ref="B8:H8"/>
    <mergeCell ref="G40:H40"/>
    <mergeCell ref="G41:H41"/>
  </mergeCells>
  <phoneticPr fontId="64" type="noConversion"/>
  <pageMargins left="0.69972223043441772" right="0.69972223043441772" top="0.75" bottom="0.75" header="0.30000001192092896" footer="0.30000001192092896"/>
  <pageSetup paperSize="9"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V20"/>
  <sheetViews>
    <sheetView showGridLines="0" topLeftCell="D1" zoomScaleNormal="100" zoomScaleSheetLayoutView="100" workbookViewId="0">
      <selection activeCell="G9" sqref="G9"/>
    </sheetView>
  </sheetViews>
  <sheetFormatPr defaultColWidth="10" defaultRowHeight="12" x14ac:dyDescent="0.3"/>
  <cols>
    <col min="1" max="1" width="2.375" style="150" customWidth="1"/>
    <col min="2" max="3" width="9.375" style="150" customWidth="1"/>
    <col min="4" max="4" width="9.875" style="151" bestFit="1" customWidth="1"/>
    <col min="5" max="5" width="24.875" style="150" bestFit="1" customWidth="1"/>
    <col min="6" max="6" width="65.625" style="150" bestFit="1" customWidth="1"/>
    <col min="7" max="7" width="11.125" style="150" customWidth="1"/>
    <col min="8" max="8" width="18.125" style="150" customWidth="1"/>
    <col min="9" max="9" width="26.875" style="150" customWidth="1"/>
    <col min="10" max="10" width="44.375" style="150" customWidth="1"/>
    <col min="11" max="11" width="26.875" style="150" customWidth="1"/>
    <col min="12" max="12" width="44.375" style="150" customWidth="1"/>
    <col min="13" max="15" width="9.375" style="152" customWidth="1"/>
    <col min="16" max="16" width="13.75" style="152" customWidth="1"/>
    <col min="17" max="17" width="44.375" style="152" customWidth="1"/>
    <col min="18" max="22" width="9.375" style="152" customWidth="1"/>
    <col min="23" max="23" width="44.375" style="150" customWidth="1"/>
    <col min="24" max="16384" width="10" style="150"/>
  </cols>
  <sheetData>
    <row r="1" spans="2:22" s="149" customFormat="1" ht="30" customHeight="1" x14ac:dyDescent="0.3">
      <c r="B1" s="153" t="s">
        <v>82</v>
      </c>
      <c r="C1" s="154"/>
      <c r="D1" s="155"/>
      <c r="E1" s="156"/>
      <c r="F1" s="156"/>
      <c r="G1" s="156"/>
      <c r="H1" s="156"/>
      <c r="M1" s="157"/>
      <c r="N1" s="157"/>
      <c r="O1" s="157"/>
      <c r="P1" s="157"/>
      <c r="Q1" s="157"/>
      <c r="R1" s="157"/>
      <c r="S1" s="157"/>
      <c r="T1" s="157"/>
      <c r="U1" s="157"/>
      <c r="V1" s="157"/>
    </row>
    <row r="4" spans="2:22" ht="25.35" customHeight="1" x14ac:dyDescent="0.3">
      <c r="B4" s="158" t="s">
        <v>172</v>
      </c>
      <c r="C4" s="158" t="s">
        <v>170</v>
      </c>
      <c r="D4" s="159" t="s">
        <v>176</v>
      </c>
      <c r="E4" s="160" t="s">
        <v>60</v>
      </c>
      <c r="F4" s="160" t="s">
        <v>59</v>
      </c>
      <c r="G4" s="161" t="s">
        <v>195</v>
      </c>
    </row>
    <row r="5" spans="2:22" ht="25.35" customHeight="1" x14ac:dyDescent="0.3">
      <c r="B5" s="162">
        <v>1</v>
      </c>
      <c r="C5" s="163">
        <v>1</v>
      </c>
      <c r="D5" s="164">
        <v>46029</v>
      </c>
      <c r="E5" s="164" t="s">
        <v>194</v>
      </c>
      <c r="F5" s="165" t="s">
        <v>74</v>
      </c>
      <c r="G5" s="166" t="s">
        <v>180</v>
      </c>
    </row>
    <row r="6" spans="2:22" ht="25.35" customHeight="1" x14ac:dyDescent="0.3">
      <c r="B6" s="162">
        <v>2</v>
      </c>
      <c r="C6" s="163">
        <v>1.1000000000000001</v>
      </c>
      <c r="D6" s="164">
        <v>46050</v>
      </c>
      <c r="E6" s="164" t="s">
        <v>204</v>
      </c>
      <c r="F6" s="165" t="s">
        <v>36</v>
      </c>
      <c r="G6" s="166" t="s">
        <v>184</v>
      </c>
    </row>
    <row r="7" spans="2:22" ht="25.35" customHeight="1" x14ac:dyDescent="0.3">
      <c r="B7" s="162">
        <v>3</v>
      </c>
      <c r="C7" s="163">
        <v>1.2</v>
      </c>
      <c r="D7" s="164">
        <v>46091</v>
      </c>
      <c r="E7" s="164" t="s">
        <v>428</v>
      </c>
      <c r="F7" s="165" t="s">
        <v>36</v>
      </c>
      <c r="G7" s="166" t="s">
        <v>184</v>
      </c>
    </row>
    <row r="8" spans="2:22" ht="25.35" customHeight="1" x14ac:dyDescent="0.3">
      <c r="B8" s="162">
        <v>4</v>
      </c>
      <c r="C8" s="163">
        <v>1.3</v>
      </c>
      <c r="D8" s="164">
        <v>46106</v>
      </c>
      <c r="E8" s="164" t="s">
        <v>573</v>
      </c>
      <c r="F8" s="165" t="s">
        <v>572</v>
      </c>
      <c r="G8" s="166" t="s">
        <v>574</v>
      </c>
    </row>
    <row r="9" spans="2:22" ht="25.35" customHeight="1" x14ac:dyDescent="0.3">
      <c r="B9" s="162">
        <v>5</v>
      </c>
      <c r="C9" s="163"/>
      <c r="D9" s="164"/>
      <c r="E9" s="164"/>
      <c r="F9" s="171"/>
      <c r="G9" s="166"/>
    </row>
    <row r="10" spans="2:22" ht="25.35" customHeight="1" x14ac:dyDescent="0.3">
      <c r="B10" s="162">
        <v>6</v>
      </c>
      <c r="C10" s="163"/>
      <c r="D10" s="164"/>
      <c r="E10" s="164"/>
      <c r="F10" s="171"/>
      <c r="G10" s="166"/>
    </row>
    <row r="11" spans="2:22" ht="25.35" customHeight="1" x14ac:dyDescent="0.3">
      <c r="B11" s="162">
        <v>7</v>
      </c>
      <c r="C11" s="163"/>
      <c r="D11" s="164"/>
      <c r="E11" s="164"/>
      <c r="F11" s="171"/>
      <c r="G11" s="168"/>
    </row>
    <row r="12" spans="2:22" ht="25.35" customHeight="1" x14ac:dyDescent="0.3">
      <c r="B12" s="162">
        <v>8</v>
      </c>
      <c r="C12" s="163"/>
      <c r="D12" s="164"/>
      <c r="E12" s="164"/>
      <c r="F12" s="167"/>
      <c r="G12" s="168"/>
    </row>
    <row r="13" spans="2:22" ht="25.35" customHeight="1" x14ac:dyDescent="0.3">
      <c r="B13" s="162">
        <v>9</v>
      </c>
      <c r="C13" s="163"/>
      <c r="D13" s="164"/>
      <c r="E13" s="164"/>
      <c r="F13" s="167"/>
      <c r="G13" s="168"/>
    </row>
    <row r="14" spans="2:22" ht="25.35" customHeight="1" x14ac:dyDescent="0.3">
      <c r="B14" s="162">
        <v>10</v>
      </c>
      <c r="C14" s="163"/>
      <c r="D14" s="164"/>
      <c r="E14" s="164"/>
      <c r="F14" s="167"/>
      <c r="G14" s="168"/>
    </row>
    <row r="15" spans="2:22" ht="25.35" customHeight="1" x14ac:dyDescent="0.3">
      <c r="B15" s="162">
        <v>11</v>
      </c>
      <c r="C15" s="163"/>
      <c r="D15" s="164"/>
      <c r="E15" s="164"/>
      <c r="F15" s="167"/>
      <c r="G15" s="168"/>
    </row>
    <row r="16" spans="2:22" ht="25.35" customHeight="1" x14ac:dyDescent="0.3">
      <c r="B16" s="162">
        <v>12</v>
      </c>
      <c r="C16" s="163"/>
      <c r="D16" s="164"/>
      <c r="E16" s="164"/>
      <c r="F16" s="167"/>
      <c r="G16" s="168"/>
    </row>
    <row r="17" spans="2:7" ht="25.35" customHeight="1" x14ac:dyDescent="0.3">
      <c r="B17" s="162">
        <v>13</v>
      </c>
      <c r="C17" s="163"/>
      <c r="D17" s="164"/>
      <c r="E17" s="164"/>
      <c r="F17" s="167"/>
      <c r="G17" s="168"/>
    </row>
    <row r="18" spans="2:7" ht="25.35" customHeight="1" x14ac:dyDescent="0.3">
      <c r="B18" s="162">
        <v>14</v>
      </c>
      <c r="C18" s="163"/>
      <c r="D18" s="164"/>
      <c r="E18" s="164"/>
      <c r="F18" s="167"/>
      <c r="G18" s="168"/>
    </row>
    <row r="19" spans="2:7" ht="25.35" customHeight="1" x14ac:dyDescent="0.3">
      <c r="B19" s="162"/>
      <c r="C19" s="163"/>
      <c r="D19" s="164"/>
      <c r="E19" s="164"/>
      <c r="F19" s="167"/>
      <c r="G19" s="168"/>
    </row>
    <row r="20" spans="2:7" x14ac:dyDescent="0.3">
      <c r="B20" s="169" t="s">
        <v>16</v>
      </c>
    </row>
  </sheetData>
  <phoneticPr fontId="64" type="noConversion"/>
  <pageMargins left="0.69972223043441772" right="0.69972223043441772" top="0.75" bottom="0.75" header="0.30000001192092896" footer="0.3000000119209289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479"/>
  <sheetViews>
    <sheetView tabSelected="1" zoomScale="70" zoomScaleNormal="70" zoomScaleSheetLayoutView="65" workbookViewId="0">
      <pane xSplit="12" ySplit="9" topLeftCell="M55" activePane="bottomRight" state="frozen"/>
      <selection pane="topRight"/>
      <selection pane="bottomLeft"/>
      <selection pane="bottomRight" activeCell="M4" sqref="M4:Y4"/>
    </sheetView>
  </sheetViews>
  <sheetFormatPr defaultColWidth="8.25" defaultRowHeight="15.75" outlineLevelRow="2" x14ac:dyDescent="0.3"/>
  <cols>
    <col min="1" max="1" width="1.875" style="1" customWidth="1"/>
    <col min="2" max="2" width="5.375" style="126" customWidth="1"/>
    <col min="3" max="3" width="21.5" style="2" bestFit="1" customWidth="1"/>
    <col min="4" max="4" width="6.25" style="3" customWidth="1"/>
    <col min="5" max="5" width="4.25" style="1" customWidth="1"/>
    <col min="6" max="8" width="3.75" style="4" customWidth="1"/>
    <col min="9" max="9" width="5.75" style="1" customWidth="1"/>
    <col min="10" max="10" width="3.75" style="1" customWidth="1"/>
    <col min="11" max="11" width="42" style="2" customWidth="1"/>
    <col min="12" max="12" width="7.375" style="1" bestFit="1" customWidth="1"/>
    <col min="13" max="14" width="24" style="3" bestFit="1" customWidth="1"/>
    <col min="15" max="15" width="16.25" style="3" customWidth="1"/>
    <col min="16" max="16" width="18.25" style="3" customWidth="1"/>
    <col min="17" max="17" width="16.75" style="3" bestFit="1" customWidth="1"/>
    <col min="18" max="18" width="12.75" style="5" customWidth="1"/>
    <col min="19" max="19" width="21.25" style="3" bestFit="1" customWidth="1"/>
    <col min="20" max="20" width="18.75" style="3" bestFit="1" customWidth="1"/>
    <col min="21" max="21" width="11.75" style="5" customWidth="1"/>
    <col min="22" max="22" width="11" style="5" customWidth="1"/>
    <col min="23" max="23" width="11.5" style="6" bestFit="1" customWidth="1"/>
    <col min="24" max="24" width="9.75" style="6" customWidth="1"/>
    <col min="25" max="25" width="9.75" style="1" customWidth="1"/>
    <col min="26" max="26" width="12.375" style="1" customWidth="1"/>
    <col min="27" max="27" width="50.375" style="7" customWidth="1"/>
    <col min="28" max="28" width="0.25" style="1" customWidth="1"/>
    <col min="29" max="29" width="6.75" style="207" bestFit="1" customWidth="1"/>
    <col min="30" max="30" width="4.875" style="206" customWidth="1"/>
    <col min="31" max="16384" width="8.25" style="206"/>
  </cols>
  <sheetData>
    <row r="1" spans="1:30" s="1" customFormat="1" x14ac:dyDescent="0.3">
      <c r="C1" s="2"/>
      <c r="D1" s="3"/>
      <c r="F1" s="4"/>
      <c r="G1" s="4"/>
      <c r="H1" s="4"/>
      <c r="K1" s="2"/>
      <c r="M1" s="3"/>
      <c r="N1" s="3"/>
      <c r="O1" s="3"/>
      <c r="P1" s="3"/>
      <c r="Q1" s="3"/>
      <c r="R1" s="5"/>
      <c r="S1" s="3"/>
      <c r="T1" s="3"/>
      <c r="U1" s="5"/>
      <c r="V1" s="5"/>
      <c r="W1" s="6"/>
      <c r="X1" s="6"/>
      <c r="AA1" s="7"/>
      <c r="AC1" s="114"/>
    </row>
    <row r="2" spans="1:30" s="1" customFormat="1" ht="30" customHeight="1" x14ac:dyDescent="0.3"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C2" s="114"/>
    </row>
    <row r="3" spans="1:30" s="1" customFormat="1" ht="15" customHeight="1" x14ac:dyDescent="0.3">
      <c r="B3" s="8"/>
      <c r="C3" s="8"/>
      <c r="D3" s="8"/>
      <c r="E3" s="8"/>
      <c r="F3" s="8"/>
      <c r="G3" s="8"/>
      <c r="H3" s="231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104"/>
      <c r="AC3" s="114"/>
    </row>
    <row r="4" spans="1:30" s="9" customFormat="1" ht="24.6" customHeight="1" x14ac:dyDescent="0.3">
      <c r="B4" s="10"/>
      <c r="C4" s="10"/>
      <c r="D4" s="10"/>
      <c r="E4" s="10"/>
      <c r="F4" s="10"/>
      <c r="G4" s="10"/>
      <c r="H4" s="10"/>
      <c r="I4" s="10"/>
      <c r="J4" s="10"/>
      <c r="K4" s="11"/>
      <c r="L4" s="10"/>
      <c r="M4" s="309" t="s">
        <v>0</v>
      </c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1"/>
      <c r="Z4" s="12"/>
      <c r="AA4" s="13"/>
    </row>
    <row r="5" spans="1:30" s="14" customFormat="1" ht="24.6" customHeight="1" x14ac:dyDescent="0.3">
      <c r="B5" s="15"/>
      <c r="C5" s="16"/>
      <c r="D5" s="10"/>
      <c r="I5" s="9"/>
      <c r="J5" s="9"/>
      <c r="K5" s="17"/>
      <c r="M5" s="18" t="s">
        <v>66</v>
      </c>
      <c r="N5" s="19" t="str">
        <f>IF(Y5&gt;=95%,"양호",IF(AND(Y5&gt;=90%,Y5&lt;95%),"보통",IF(Y5&lt;90%,"미흡","")))</f>
        <v>미흡</v>
      </c>
      <c r="O5" s="20" t="s">
        <v>178</v>
      </c>
      <c r="P5" s="170" t="s">
        <v>178</v>
      </c>
      <c r="Q5" s="128">
        <f>W5/U5</f>
        <v>0.5446982556232477</v>
      </c>
      <c r="R5" s="21" t="s">
        <v>40</v>
      </c>
      <c r="S5" s="22">
        <v>46120</v>
      </c>
      <c r="T5" s="23" t="s">
        <v>70</v>
      </c>
      <c r="U5" s="24">
        <f>R9</f>
        <v>0.22319696959721855</v>
      </c>
      <c r="V5" s="21" t="s">
        <v>67</v>
      </c>
      <c r="W5" s="110">
        <f>U9</f>
        <v>0.121575</v>
      </c>
      <c r="X5" s="21" t="s">
        <v>197</v>
      </c>
      <c r="Y5" s="25">
        <f>IFERROR(X9/W9,"")</f>
        <v>0.5446982556232477</v>
      </c>
      <c r="AA5" s="26"/>
      <c r="AB5" s="9"/>
    </row>
    <row r="6" spans="1:30" s="4" customFormat="1" ht="15" customHeight="1" x14ac:dyDescent="0.3">
      <c r="B6" s="27"/>
      <c r="C6" s="28"/>
      <c r="D6" s="8"/>
      <c r="I6" s="1"/>
      <c r="J6" s="1"/>
      <c r="K6" s="2"/>
      <c r="M6" s="29"/>
      <c r="N6" s="29"/>
      <c r="O6" s="29"/>
      <c r="P6" s="29"/>
      <c r="Q6" s="29"/>
      <c r="R6" s="30"/>
      <c r="S6" s="31"/>
      <c r="T6" s="8"/>
      <c r="U6" s="32"/>
      <c r="V6" s="30"/>
      <c r="W6" s="105"/>
      <c r="X6" s="30"/>
      <c r="Y6" s="33"/>
      <c r="Z6" s="8"/>
      <c r="AA6" s="34"/>
      <c r="AC6" s="115"/>
      <c r="AD6" s="1"/>
    </row>
    <row r="7" spans="1:30" s="35" customFormat="1" ht="30" customHeight="1" x14ac:dyDescent="0.3">
      <c r="B7" s="312" t="s">
        <v>175</v>
      </c>
      <c r="C7" s="314" t="s">
        <v>21</v>
      </c>
      <c r="D7" s="316" t="s">
        <v>179</v>
      </c>
      <c r="E7" s="316" t="s">
        <v>173</v>
      </c>
      <c r="F7" s="316"/>
      <c r="G7" s="316"/>
      <c r="H7" s="316"/>
      <c r="I7" s="316"/>
      <c r="J7" s="316"/>
      <c r="K7" s="316"/>
      <c r="L7" s="316" t="s">
        <v>181</v>
      </c>
      <c r="M7" s="317"/>
      <c r="N7" s="317"/>
      <c r="O7" s="317"/>
      <c r="P7" s="317"/>
      <c r="Q7" s="317"/>
      <c r="R7" s="316"/>
      <c r="S7" s="316" t="s">
        <v>182</v>
      </c>
      <c r="T7" s="316"/>
      <c r="U7" s="316"/>
      <c r="V7" s="318" t="s">
        <v>78</v>
      </c>
      <c r="W7" s="320" t="s">
        <v>73</v>
      </c>
      <c r="X7" s="317"/>
      <c r="Y7" s="317"/>
      <c r="Z7" s="317"/>
      <c r="AA7" s="321" t="s">
        <v>23</v>
      </c>
      <c r="AC7" s="116"/>
    </row>
    <row r="8" spans="1:30" s="36" customFormat="1" ht="30" customHeight="1" x14ac:dyDescent="0.3">
      <c r="B8" s="313"/>
      <c r="C8" s="315"/>
      <c r="D8" s="315"/>
      <c r="E8" s="315"/>
      <c r="F8" s="315"/>
      <c r="G8" s="315"/>
      <c r="H8" s="315"/>
      <c r="I8" s="315"/>
      <c r="J8" s="315"/>
      <c r="K8" s="315"/>
      <c r="L8" s="175" t="s">
        <v>177</v>
      </c>
      <c r="M8" s="175" t="s">
        <v>193</v>
      </c>
      <c r="N8" s="175" t="s">
        <v>171</v>
      </c>
      <c r="O8" s="175" t="s">
        <v>169</v>
      </c>
      <c r="P8" s="175" t="s">
        <v>186</v>
      </c>
      <c r="Q8" s="175" t="s">
        <v>196</v>
      </c>
      <c r="R8" s="176" t="s">
        <v>168</v>
      </c>
      <c r="S8" s="175" t="s">
        <v>193</v>
      </c>
      <c r="T8" s="175" t="s">
        <v>171</v>
      </c>
      <c r="U8" s="176" t="s">
        <v>168</v>
      </c>
      <c r="V8" s="319"/>
      <c r="W8" s="37" t="s">
        <v>181</v>
      </c>
      <c r="X8" s="37" t="s">
        <v>182</v>
      </c>
      <c r="Y8" s="38" t="s">
        <v>174</v>
      </c>
      <c r="Z8" s="175" t="s">
        <v>190</v>
      </c>
      <c r="AA8" s="322"/>
      <c r="AC8" s="117"/>
    </row>
    <row r="9" spans="1:30" s="39" customFormat="1" ht="30" customHeight="1" x14ac:dyDescent="0.3">
      <c r="B9" s="40">
        <v>0</v>
      </c>
      <c r="C9" s="41" t="s">
        <v>65</v>
      </c>
      <c r="D9" s="42">
        <v>0</v>
      </c>
      <c r="E9" s="307" t="s">
        <v>585</v>
      </c>
      <c r="F9" s="307"/>
      <c r="G9" s="307"/>
      <c r="H9" s="307"/>
      <c r="I9" s="307"/>
      <c r="J9" s="307"/>
      <c r="K9" s="307"/>
      <c r="L9" s="43" t="str">
        <f>CONCATENATE(NETWORKDAYS(M9,N9,holiday!B$4:B$20),"일")</f>
        <v>209일</v>
      </c>
      <c r="M9" s="44">
        <f>MIN(M10,M18,M104,M221,M262)</f>
        <v>46076</v>
      </c>
      <c r="N9" s="44">
        <f>MAX(N10,N18,N104,N221,N262)</f>
        <v>46374</v>
      </c>
      <c r="O9" s="43" t="s">
        <v>68</v>
      </c>
      <c r="P9" s="43" t="s">
        <v>68</v>
      </c>
      <c r="Q9" s="43" t="s">
        <v>180</v>
      </c>
      <c r="R9" s="45">
        <f>SUM(W10,W18,W104,W221,W262)</f>
        <v>0.22319696959721855</v>
      </c>
      <c r="S9" s="46">
        <f>IF(COUNT(T10:T285)&gt;0,MIN(T10:T285),"")</f>
        <v>46101</v>
      </c>
      <c r="T9" s="46">
        <f>IF(COUNT(T10:T285)&gt;0,MAX(T10:T285),"")</f>
        <v>46112</v>
      </c>
      <c r="U9" s="47">
        <f>SUM(X10,X18,X104,X221,X262)</f>
        <v>0.121575</v>
      </c>
      <c r="V9" s="48">
        <v>1</v>
      </c>
      <c r="W9" s="49">
        <f>R9*V9</f>
        <v>0.22319696959721855</v>
      </c>
      <c r="X9" s="50">
        <f>U9*V9</f>
        <v>0.121575</v>
      </c>
      <c r="Y9" s="51" t="str">
        <f>IF(N9-$S$5&lt;=0,0,CONCATENATE(NETWORKDAYS($S$5,N9,holiday!$B$4:$B$20)))</f>
        <v>178</v>
      </c>
      <c r="Z9" s="52">
        <f>IF(SUM(W9:X9)&gt;0,(X9-W9)/V9,0)</f>
        <v>-0.10162196959721854</v>
      </c>
      <c r="AA9" s="223"/>
      <c r="AC9" s="118"/>
      <c r="AD9" s="9"/>
    </row>
    <row r="10" spans="1:30" s="53" customFormat="1" ht="30" customHeight="1" x14ac:dyDescent="0.3">
      <c r="B10" s="40">
        <v>1</v>
      </c>
      <c r="C10" s="54" t="s">
        <v>29</v>
      </c>
      <c r="D10" s="55">
        <v>1</v>
      </c>
      <c r="E10" s="56"/>
      <c r="F10" s="221" t="s">
        <v>63</v>
      </c>
      <c r="G10" s="221"/>
      <c r="H10" s="232"/>
      <c r="I10" s="222"/>
      <c r="J10" s="222"/>
      <c r="K10" s="222"/>
      <c r="L10" s="127" t="str">
        <f>CONCATENATE(NETWORKDAYS(M10,N10,holiday!B$4:B$20),"일")</f>
        <v>89일</v>
      </c>
      <c r="M10" s="111">
        <f>MIN(M11,M13,M15)</f>
        <v>46076</v>
      </c>
      <c r="N10" s="188">
        <f>MAX(N11,N13,N15)</f>
        <v>46203</v>
      </c>
      <c r="O10" s="196" t="s">
        <v>68</v>
      </c>
      <c r="P10" s="196" t="s">
        <v>68</v>
      </c>
      <c r="Q10" s="196" t="s">
        <v>180</v>
      </c>
      <c r="R10" s="57">
        <f>SUM(W11,W13,W15)</f>
        <v>0.29483695652173914</v>
      </c>
      <c r="S10" s="196">
        <f>IF(COUNT(S11:S17)&gt;0,MIN(S11:S17),"")</f>
        <v>46076</v>
      </c>
      <c r="T10" s="196" t="str">
        <f>IF(COUNT(T11:T17)&gt;0,MAX(T11:T17),"")</f>
        <v/>
      </c>
      <c r="U10" s="57">
        <f>SUM(X11,X13,X15)</f>
        <v>0.13125000000000001</v>
      </c>
      <c r="V10" s="58">
        <v>0.1</v>
      </c>
      <c r="W10" s="59">
        <f>R10*V10</f>
        <v>2.9483695652173916E-2</v>
      </c>
      <c r="X10" s="59">
        <f>U10*V10</f>
        <v>1.3125000000000001E-2</v>
      </c>
      <c r="Y10" s="60" t="str">
        <f>IF(N10-$S$5&lt;=0,0,CONCATENATE(NETWORKDAYS($S$5,N10,holiday!$B$4:$B$20)))</f>
        <v>58</v>
      </c>
      <c r="Z10" s="61">
        <f t="shared" ref="Z10:Z17" si="0">IF(SUM(W10:X10)&gt;0,(X10-W10)/V10,0)</f>
        <v>-0.16358695652173913</v>
      </c>
      <c r="AA10" s="62"/>
      <c r="AB10" s="119"/>
      <c r="AC10" s="208"/>
      <c r="AD10" s="209"/>
    </row>
    <row r="11" spans="1:30" s="93" customFormat="1" ht="35.65" customHeight="1" outlineLevel="1" x14ac:dyDescent="0.3">
      <c r="A11" s="63"/>
      <c r="B11" s="40">
        <v>2</v>
      </c>
      <c r="C11" s="64" t="s">
        <v>25</v>
      </c>
      <c r="D11" s="65">
        <v>2</v>
      </c>
      <c r="E11" s="66"/>
      <c r="F11" s="190"/>
      <c r="G11" s="190" t="s">
        <v>35</v>
      </c>
      <c r="H11" s="67"/>
      <c r="I11" s="67"/>
      <c r="J11" s="67"/>
      <c r="K11" s="68"/>
      <c r="L11" s="65" t="str">
        <f>CONCATENATE(NETWORKDAYS(M11,N11,holiday!B$4:B$20),"일")</f>
        <v>14일</v>
      </c>
      <c r="M11" s="112">
        <f>MIN(M12)</f>
        <v>46084</v>
      </c>
      <c r="N11" s="112">
        <f>MAX(N12)</f>
        <v>46101</v>
      </c>
      <c r="O11" s="113" t="s">
        <v>68</v>
      </c>
      <c r="P11" s="113" t="s">
        <v>68</v>
      </c>
      <c r="Q11" s="113" t="s">
        <v>180</v>
      </c>
      <c r="R11" s="69">
        <f>SUM(W12)</f>
        <v>0.5</v>
      </c>
      <c r="S11" s="191">
        <v>46076</v>
      </c>
      <c r="T11" s="191"/>
      <c r="U11" s="69">
        <f>SUM(X12)</f>
        <v>0.4</v>
      </c>
      <c r="V11" s="69">
        <v>0.25</v>
      </c>
      <c r="W11" s="70">
        <f t="shared" ref="W11:W17" si="1">R11*V11</f>
        <v>0.125</v>
      </c>
      <c r="X11" s="71">
        <f t="shared" ref="X11:X17" si="2">U11*V11</f>
        <v>0.1</v>
      </c>
      <c r="Y11" s="72">
        <f>IF(N11-$S$5&lt;=0,0,CONCATENATE(NETWORKDAYS($S$5,N11,holiday!$B$4:$B$20)))</f>
        <v>0</v>
      </c>
      <c r="Z11" s="73">
        <f t="shared" si="0"/>
        <v>-9.9999999999999978E-2</v>
      </c>
      <c r="AA11" s="74"/>
      <c r="AB11" s="120"/>
      <c r="AC11" s="210"/>
    </row>
    <row r="12" spans="1:30" s="202" customFormat="1" ht="30" customHeight="1" outlineLevel="2" x14ac:dyDescent="0.3">
      <c r="A12" s="75"/>
      <c r="B12" s="40">
        <v>3</v>
      </c>
      <c r="C12" s="76" t="s">
        <v>103</v>
      </c>
      <c r="D12" s="77">
        <v>3</v>
      </c>
      <c r="E12" s="78"/>
      <c r="F12" s="177"/>
      <c r="G12" s="177"/>
      <c r="H12" s="233" t="s">
        <v>37</v>
      </c>
      <c r="I12" s="79"/>
      <c r="J12" s="79"/>
      <c r="K12" s="79"/>
      <c r="L12" s="77" t="str">
        <f>CONCATENATE(NETWORKDAYS(M12,N12,holiday!B$4:B$20),"일")</f>
        <v>14일</v>
      </c>
      <c r="M12" s="106">
        <v>46084</v>
      </c>
      <c r="N12" s="106">
        <v>46101</v>
      </c>
      <c r="O12" s="107" t="s">
        <v>68</v>
      </c>
      <c r="P12" s="107" t="s">
        <v>68</v>
      </c>
      <c r="Q12" s="107" t="s">
        <v>180</v>
      </c>
      <c r="R12" s="80">
        <f>IF(COUNTBLANK(M12:N12)&gt;0,0,1/NETWORKDAYS(M12,N12)*(IF($S$5&lt;=M12,0,NETWORKDAYS(M12,IF($S$5&gt;N12,N12,$S$5)))))</f>
        <v>1</v>
      </c>
      <c r="S12" s="218">
        <v>46179</v>
      </c>
      <c r="T12" s="218"/>
      <c r="U12" s="219">
        <v>0.8</v>
      </c>
      <c r="V12" s="80">
        <f>0.5</f>
        <v>0.5</v>
      </c>
      <c r="W12" s="81">
        <f t="shared" si="1"/>
        <v>0.5</v>
      </c>
      <c r="X12" s="82">
        <f t="shared" si="2"/>
        <v>0.4</v>
      </c>
      <c r="Y12" s="83">
        <f>IF(N12-$S$5&lt;=0,0,CONCATENATE(NETWORKDAYS($S$5,N12,holiday!$B$4:$B$20)))</f>
        <v>0</v>
      </c>
      <c r="Z12" s="84">
        <f t="shared" si="0"/>
        <v>-0.19999999999999996</v>
      </c>
      <c r="AA12" s="85" t="s">
        <v>566</v>
      </c>
      <c r="AB12" s="121"/>
      <c r="AC12" s="211"/>
      <c r="AD12" s="212"/>
    </row>
    <row r="13" spans="1:30" s="93" customFormat="1" ht="30" customHeight="1" outlineLevel="1" x14ac:dyDescent="0.3">
      <c r="A13" s="63"/>
      <c r="B13" s="40">
        <v>4</v>
      </c>
      <c r="C13" s="64" t="s">
        <v>25</v>
      </c>
      <c r="D13" s="65">
        <v>2</v>
      </c>
      <c r="E13" s="66"/>
      <c r="F13" s="190"/>
      <c r="G13" s="190" t="s">
        <v>64</v>
      </c>
      <c r="H13" s="67"/>
      <c r="I13" s="67"/>
      <c r="J13" s="67"/>
      <c r="K13" s="68"/>
      <c r="L13" s="65" t="str">
        <f>CONCATENATE(NETWORKDAYS(M13,N13,holiday!B$4:B$20),"일")</f>
        <v>89일</v>
      </c>
      <c r="M13" s="112">
        <f>MIN(M14:M14)</f>
        <v>46076</v>
      </c>
      <c r="N13" s="112">
        <f>MAX(N14:N14)</f>
        <v>46203</v>
      </c>
      <c r="O13" s="113" t="s">
        <v>68</v>
      </c>
      <c r="P13" s="113" t="s">
        <v>68</v>
      </c>
      <c r="Q13" s="113" t="s">
        <v>180</v>
      </c>
      <c r="R13" s="69">
        <f>SUM(W14:W14)</f>
        <v>0.17934782608695651</v>
      </c>
      <c r="S13" s="191">
        <v>46076</v>
      </c>
      <c r="T13" s="191"/>
      <c r="U13" s="69">
        <f>SUM(X14:X14)</f>
        <v>0.125</v>
      </c>
      <c r="V13" s="69">
        <v>0.25</v>
      </c>
      <c r="W13" s="70">
        <f t="shared" si="1"/>
        <v>4.4836956521739128E-2</v>
      </c>
      <c r="X13" s="71">
        <f>U13*V13</f>
        <v>3.125E-2</v>
      </c>
      <c r="Y13" s="72">
        <v>0</v>
      </c>
      <c r="Z13" s="73">
        <v>0</v>
      </c>
      <c r="AA13" s="74"/>
      <c r="AB13" s="120"/>
      <c r="AC13" s="210"/>
    </row>
    <row r="14" spans="1:30" s="202" customFormat="1" ht="30" customHeight="1" outlineLevel="2" x14ac:dyDescent="0.3">
      <c r="A14" s="75"/>
      <c r="B14" s="40">
        <v>5</v>
      </c>
      <c r="C14" s="76" t="s">
        <v>103</v>
      </c>
      <c r="D14" s="77">
        <v>3</v>
      </c>
      <c r="E14" s="78"/>
      <c r="F14" s="177"/>
      <c r="G14" s="177"/>
      <c r="H14" s="233" t="s">
        <v>72</v>
      </c>
      <c r="I14" s="79"/>
      <c r="J14" s="79"/>
      <c r="K14" s="79"/>
      <c r="L14" s="77" t="str">
        <f>CONCATENATE(NETWORKDAYS(M14,N14,holiday!B$4:B$20),"일")</f>
        <v>89일</v>
      </c>
      <c r="M14" s="106">
        <v>46076</v>
      </c>
      <c r="N14" s="106">
        <v>46203</v>
      </c>
      <c r="O14" s="107" t="s">
        <v>68</v>
      </c>
      <c r="P14" s="107" t="s">
        <v>68</v>
      </c>
      <c r="Q14" s="107" t="s">
        <v>180</v>
      </c>
      <c r="R14" s="80">
        <f>IF(COUNTBLANK(M14:N14)&gt;0,0,1/NETWORKDAYS(M14,N14)*(IF($S$5&lt;=M14,0,NETWORKDAYS(M14,IF($S$5&gt;N14,N14,$S$5)))))</f>
        <v>0.35869565217391303</v>
      </c>
      <c r="S14" s="218">
        <v>46076</v>
      </c>
      <c r="T14" s="218"/>
      <c r="U14" s="219">
        <v>0.25</v>
      </c>
      <c r="V14" s="80">
        <f>0.5</f>
        <v>0.5</v>
      </c>
      <c r="W14" s="81">
        <f t="shared" si="1"/>
        <v>0.17934782608695651</v>
      </c>
      <c r="X14" s="82">
        <f t="shared" si="2"/>
        <v>0.125</v>
      </c>
      <c r="Y14" s="83" t="str">
        <f>IF(N14-$S$5&lt;=0,0,CONCATENATE(NETWORKDAYS($S$5,N14,holiday!$B$4:$B$20)))</f>
        <v>58</v>
      </c>
      <c r="Z14" s="84">
        <f t="shared" si="0"/>
        <v>-0.10869565217391303</v>
      </c>
      <c r="AA14" s="85" t="s">
        <v>69</v>
      </c>
      <c r="AB14" s="121"/>
      <c r="AC14" s="211"/>
      <c r="AD14" s="212"/>
    </row>
    <row r="15" spans="1:30" s="93" customFormat="1" ht="30" customHeight="1" outlineLevel="1" x14ac:dyDescent="0.3">
      <c r="A15" s="63"/>
      <c r="B15" s="40">
        <v>6</v>
      </c>
      <c r="C15" s="64" t="s">
        <v>33</v>
      </c>
      <c r="D15" s="65">
        <v>2</v>
      </c>
      <c r="E15" s="66"/>
      <c r="F15" s="190"/>
      <c r="G15" s="190" t="s">
        <v>22</v>
      </c>
      <c r="H15" s="67"/>
      <c r="I15" s="67"/>
      <c r="J15" s="67"/>
      <c r="K15" s="68"/>
      <c r="L15" s="65" t="str">
        <f>CONCATENATE(NETWORKDAYS(M15,N15,holiday!B$4:B$20),"일")</f>
        <v>32일</v>
      </c>
      <c r="M15" s="112">
        <f>MIN(M16:M17)</f>
        <v>46113</v>
      </c>
      <c r="N15" s="112">
        <f>MAX(N16:N17)</f>
        <v>46157</v>
      </c>
      <c r="O15" s="113" t="s">
        <v>68</v>
      </c>
      <c r="P15" s="113" t="s">
        <v>68</v>
      </c>
      <c r="Q15" s="113" t="s">
        <v>180</v>
      </c>
      <c r="R15" s="69">
        <f>SUM(W16:W17)</f>
        <v>0.25</v>
      </c>
      <c r="S15" s="191"/>
      <c r="T15" s="191"/>
      <c r="U15" s="69">
        <f>SUM(X16:X17)</f>
        <v>0</v>
      </c>
      <c r="V15" s="69">
        <v>0.5</v>
      </c>
      <c r="W15" s="70">
        <f t="shared" si="1"/>
        <v>0.125</v>
      </c>
      <c r="X15" s="71">
        <f t="shared" si="2"/>
        <v>0</v>
      </c>
      <c r="Y15" s="65" t="str">
        <f>IF(N15-$S$5&lt;=0,0,CONCATENATE(NETWORKDAYS($S$5,N15,holiday!$B$4:$B$20)))</f>
        <v>27</v>
      </c>
      <c r="Z15" s="73">
        <f t="shared" si="0"/>
        <v>-0.25</v>
      </c>
      <c r="AA15" s="74"/>
      <c r="AB15" s="120"/>
      <c r="AC15" s="210"/>
    </row>
    <row r="16" spans="1:30" s="202" customFormat="1" ht="30" customHeight="1" outlineLevel="2" x14ac:dyDescent="0.3">
      <c r="A16" s="75"/>
      <c r="B16" s="40">
        <v>7</v>
      </c>
      <c r="C16" s="76" t="s">
        <v>110</v>
      </c>
      <c r="D16" s="77">
        <v>3</v>
      </c>
      <c r="E16" s="78"/>
      <c r="F16" s="177"/>
      <c r="G16" s="177"/>
      <c r="H16" s="233" t="s">
        <v>79</v>
      </c>
      <c r="I16" s="79"/>
      <c r="J16" s="79"/>
      <c r="K16" s="79"/>
      <c r="L16" s="77" t="str">
        <f>CONCATENATE(NETWORKDAYS(M16,N16,holiday!B$4:B$20),"일")</f>
        <v>1일</v>
      </c>
      <c r="M16" s="106">
        <v>46113</v>
      </c>
      <c r="N16" s="106">
        <v>46113</v>
      </c>
      <c r="O16" s="107" t="s">
        <v>68</v>
      </c>
      <c r="P16" s="107" t="s">
        <v>68</v>
      </c>
      <c r="Q16" s="107" t="s">
        <v>180</v>
      </c>
      <c r="R16" s="80">
        <f>IF(COUNTBLANK(M16:N16)&gt;0,0,1/NETWORKDAYS(M16,N16)*(IF($S$5&lt;=M16,0,NETWORKDAYS(M16,IF($S$5&gt;N16,N16,$S$5)))))</f>
        <v>1</v>
      </c>
      <c r="S16" s="218"/>
      <c r="T16" s="218"/>
      <c r="U16" s="219">
        <v>0</v>
      </c>
      <c r="V16" s="80">
        <v>0.25</v>
      </c>
      <c r="W16" s="81">
        <f t="shared" si="1"/>
        <v>0.25</v>
      </c>
      <c r="X16" s="82">
        <f t="shared" si="2"/>
        <v>0</v>
      </c>
      <c r="Y16" s="83">
        <f>IF(N16-$S$5&lt;=0,0,CONCATENATE(NETWORKDAYS($S$5,N16,holiday!$B$4:$B$20)))</f>
        <v>0</v>
      </c>
      <c r="Z16" s="84">
        <f t="shared" si="0"/>
        <v>-1</v>
      </c>
      <c r="AA16" s="85" t="s">
        <v>80</v>
      </c>
      <c r="AB16" s="121"/>
      <c r="AC16" s="211"/>
      <c r="AD16" s="212"/>
    </row>
    <row r="17" spans="1:30" s="202" customFormat="1" ht="30" customHeight="1" outlineLevel="2" x14ac:dyDescent="0.3">
      <c r="A17" s="75"/>
      <c r="B17" s="40">
        <v>8</v>
      </c>
      <c r="C17" s="76" t="s">
        <v>104</v>
      </c>
      <c r="D17" s="77">
        <v>3</v>
      </c>
      <c r="E17" s="78"/>
      <c r="F17" s="177"/>
      <c r="G17" s="177"/>
      <c r="H17" s="233" t="s">
        <v>144</v>
      </c>
      <c r="I17" s="79"/>
      <c r="J17" s="79"/>
      <c r="K17" s="79"/>
      <c r="L17" s="77" t="str">
        <f>CONCATENATE(NETWORKDAYS(M17,N17,holiday!B$4:B$20),"일")</f>
        <v>1일</v>
      </c>
      <c r="M17" s="106">
        <v>46157</v>
      </c>
      <c r="N17" s="106">
        <v>46157</v>
      </c>
      <c r="O17" s="107" t="s">
        <v>68</v>
      </c>
      <c r="P17" s="107" t="s">
        <v>68</v>
      </c>
      <c r="Q17" s="107" t="s">
        <v>180</v>
      </c>
      <c r="R17" s="80">
        <f>IF(COUNTBLANK(M17:N17)&gt;0,0,1/NETWORKDAYS(M17,N17)*(IF($S$5&lt;=M17,0,NETWORKDAYS(M17,IF($S$5&gt;N17,N17,$S$5)))))</f>
        <v>0</v>
      </c>
      <c r="S17" s="218"/>
      <c r="T17" s="218"/>
      <c r="U17" s="219">
        <v>0</v>
      </c>
      <c r="V17" s="80">
        <v>0.25</v>
      </c>
      <c r="W17" s="81">
        <f t="shared" si="1"/>
        <v>0</v>
      </c>
      <c r="X17" s="82">
        <f t="shared" si="2"/>
        <v>0</v>
      </c>
      <c r="Y17" s="83" t="str">
        <f>IF(N17-$S$5&lt;=0,0,CONCATENATE(NETWORKDAYS($S$5,N17,holiday!$B$4:$B$20)))</f>
        <v>27</v>
      </c>
      <c r="Z17" s="84">
        <f t="shared" si="0"/>
        <v>0</v>
      </c>
      <c r="AA17" s="85" t="s">
        <v>81</v>
      </c>
      <c r="AB17" s="121"/>
      <c r="AC17" s="211"/>
      <c r="AD17" s="212"/>
    </row>
    <row r="18" spans="1:30" s="53" customFormat="1" ht="30" customHeight="1" x14ac:dyDescent="0.3">
      <c r="B18" s="40">
        <v>9</v>
      </c>
      <c r="C18" s="86" t="s">
        <v>26</v>
      </c>
      <c r="D18" s="88">
        <v>1</v>
      </c>
      <c r="E18" s="87"/>
      <c r="F18" s="187" t="s">
        <v>38</v>
      </c>
      <c r="G18" s="187"/>
      <c r="H18" s="229"/>
      <c r="I18" s="229"/>
      <c r="J18" s="229"/>
      <c r="K18" s="229"/>
      <c r="L18" s="242" t="str">
        <f>CONCATENATE(NETWORKDAYS(M18,N18,holiday!B$4:B$20),"일")</f>
        <v>73일</v>
      </c>
      <c r="M18" s="188">
        <f>MIN(M19,M21,M42,M55,M73)</f>
        <v>46083</v>
      </c>
      <c r="N18" s="189">
        <f>MAX(N19,N21,N42,N55,N73)</f>
        <v>46188</v>
      </c>
      <c r="O18" s="189" t="s">
        <v>68</v>
      </c>
      <c r="P18" s="189" t="s">
        <v>68</v>
      </c>
      <c r="Q18" s="189" t="s">
        <v>180</v>
      </c>
      <c r="R18" s="89">
        <f>SUM(W19,W21,W42,W55,W73)</f>
        <v>0.51982954545454541</v>
      </c>
      <c r="S18" s="189"/>
      <c r="T18" s="189"/>
      <c r="U18" s="89">
        <f>SUM(X19,X21,X42,X55,X73)</f>
        <v>0.36150000000000004</v>
      </c>
      <c r="V18" s="90">
        <v>0.3</v>
      </c>
      <c r="W18" s="59">
        <f t="shared" ref="W18:W35" si="3">R18*V18</f>
        <v>0.15594886363636362</v>
      </c>
      <c r="X18" s="91">
        <f t="shared" ref="X18:X35" si="4">U18*V18</f>
        <v>0.10845</v>
      </c>
      <c r="Y18" s="88" t="str">
        <f>IF(N18-$S$5&lt;=0,0,CONCATENATE(NETWORKDAYS($S$5,N18,holiday!$B$4:$B$20)))</f>
        <v>47</v>
      </c>
      <c r="Z18" s="92">
        <f t="shared" ref="Z18:Z35" si="5">IF(SUM(W18:X18)&gt;0,(X18-W18)/V18,0)</f>
        <v>-0.15832954545454539</v>
      </c>
      <c r="AA18" s="243"/>
      <c r="AB18" s="119"/>
      <c r="AC18" s="208"/>
      <c r="AD18" s="209"/>
    </row>
    <row r="19" spans="1:30" s="93" customFormat="1" ht="30" customHeight="1" x14ac:dyDescent="0.3">
      <c r="B19" s="40">
        <v>10</v>
      </c>
      <c r="C19" s="64" t="s">
        <v>139</v>
      </c>
      <c r="D19" s="72">
        <v>2</v>
      </c>
      <c r="E19" s="66"/>
      <c r="F19" s="190"/>
      <c r="G19" s="190" t="s">
        <v>54</v>
      </c>
      <c r="H19" s="67"/>
      <c r="I19" s="67"/>
      <c r="J19" s="67"/>
      <c r="K19" s="67"/>
      <c r="L19" s="65" t="str">
        <f>CONCATENATE(NETWORKDAYS(M19,N19,holiday!B$4:B$20),"일")</f>
        <v>14일</v>
      </c>
      <c r="M19" s="112">
        <f>MIN(M20)</f>
        <v>46084</v>
      </c>
      <c r="N19" s="112">
        <f>MAX(N20)</f>
        <v>46101</v>
      </c>
      <c r="O19" s="113" t="s">
        <v>68</v>
      </c>
      <c r="P19" s="113" t="s">
        <v>68</v>
      </c>
      <c r="Q19" s="113" t="s">
        <v>180</v>
      </c>
      <c r="R19" s="69">
        <f>SUM(W20)</f>
        <v>1</v>
      </c>
      <c r="S19" s="191"/>
      <c r="T19" s="191"/>
      <c r="U19" s="69">
        <f>SUM(X20)</f>
        <v>1</v>
      </c>
      <c r="V19" s="100">
        <v>0.1</v>
      </c>
      <c r="W19" s="70">
        <f t="shared" si="3"/>
        <v>0.1</v>
      </c>
      <c r="X19" s="71">
        <f t="shared" si="4"/>
        <v>0.1</v>
      </c>
      <c r="Y19" s="72">
        <f>IF(N19-$S$5&lt;=0,0,CONCATENATE(NETWORKDAYS($S$5,N19,holiday!$B$4:$B$20)))</f>
        <v>0</v>
      </c>
      <c r="Z19" s="73">
        <f t="shared" si="5"/>
        <v>0</v>
      </c>
      <c r="AA19" s="74"/>
      <c r="AB19" s="122"/>
    </row>
    <row r="20" spans="1:30" s="202" customFormat="1" ht="30" customHeight="1" x14ac:dyDescent="0.3">
      <c r="A20" s="96"/>
      <c r="B20" s="40">
        <v>11</v>
      </c>
      <c r="C20" s="76" t="s">
        <v>156</v>
      </c>
      <c r="D20" s="83">
        <v>3</v>
      </c>
      <c r="E20" s="78"/>
      <c r="F20" s="177"/>
      <c r="G20" s="177"/>
      <c r="H20" s="233" t="s">
        <v>372</v>
      </c>
      <c r="I20" s="79"/>
      <c r="J20" s="79"/>
      <c r="K20" s="79"/>
      <c r="L20" s="77" t="str">
        <f>CONCATENATE(NETWORKDAYS(M20,N20,holiday!B$4:B$20),"일")</f>
        <v>14일</v>
      </c>
      <c r="M20" s="106">
        <v>46084</v>
      </c>
      <c r="N20" s="106">
        <v>46101</v>
      </c>
      <c r="O20" s="107" t="s">
        <v>68</v>
      </c>
      <c r="P20" s="107" t="s">
        <v>68</v>
      </c>
      <c r="Q20" s="107" t="s">
        <v>180</v>
      </c>
      <c r="R20" s="80">
        <f>IF(COUNTBLANK(M20:N20)&gt;0,0,1/NETWORKDAYS(M20,N20,holiday!B$4:B$20)*(IF($S$5&lt;=M20,0,NETWORKDAYS(M20,IF($S$5&gt;N20,N20,$S$5),holiday!B$4:B$20))))</f>
        <v>1</v>
      </c>
      <c r="S20" s="218"/>
      <c r="T20" s="218"/>
      <c r="U20" s="219">
        <v>1</v>
      </c>
      <c r="V20" s="99">
        <v>1</v>
      </c>
      <c r="W20" s="81">
        <f t="shared" si="3"/>
        <v>1</v>
      </c>
      <c r="X20" s="82">
        <f t="shared" si="4"/>
        <v>1</v>
      </c>
      <c r="Y20" s="83">
        <f>IF(N20-$S$5&lt;=0,0,CONCATENATE(NETWORKDAYS($S$5,N20,holiday!$B$4:$B$20)))</f>
        <v>0</v>
      </c>
      <c r="Z20" s="84">
        <f t="shared" si="5"/>
        <v>0</v>
      </c>
      <c r="AA20" s="85" t="s">
        <v>567</v>
      </c>
      <c r="AB20" s="123"/>
    </row>
    <row r="21" spans="1:30" s="202" customFormat="1" ht="30" customHeight="1" outlineLevel="1" x14ac:dyDescent="0.3">
      <c r="A21" s="93"/>
      <c r="B21" s="40">
        <v>12</v>
      </c>
      <c r="C21" s="64" t="s">
        <v>27</v>
      </c>
      <c r="D21" s="72">
        <v>2</v>
      </c>
      <c r="E21" s="66"/>
      <c r="F21" s="190"/>
      <c r="G21" s="190" t="s">
        <v>143</v>
      </c>
      <c r="H21" s="67"/>
      <c r="I21" s="67"/>
      <c r="J21" s="67"/>
      <c r="K21" s="67"/>
      <c r="L21" s="65" t="str">
        <f>CONCATENATE(NETWORKDAYS(M21,N21,holiday!B$4:B$20),"일")</f>
        <v>20일</v>
      </c>
      <c r="M21" s="112">
        <f>MIN(M22,M25,M30,M35)</f>
        <v>46083</v>
      </c>
      <c r="N21" s="112">
        <f>MAX(N22,N25,N30,N35)</f>
        <v>46111</v>
      </c>
      <c r="O21" s="113" t="s">
        <v>68</v>
      </c>
      <c r="P21" s="113" t="s">
        <v>183</v>
      </c>
      <c r="Q21" s="113" t="s">
        <v>405</v>
      </c>
      <c r="R21" s="69">
        <f>SUM(W22,W25,W30,W35)</f>
        <v>0.49750000000000005</v>
      </c>
      <c r="S21" s="191"/>
      <c r="T21" s="191"/>
      <c r="U21" s="69">
        <f>SUM(X22,X25,X30,X35)</f>
        <v>3.1E-2</v>
      </c>
      <c r="V21" s="100">
        <v>0.25</v>
      </c>
      <c r="W21" s="70">
        <f t="shared" si="3"/>
        <v>0.12437500000000001</v>
      </c>
      <c r="X21" s="71">
        <f t="shared" si="4"/>
        <v>7.7499999999999999E-3</v>
      </c>
      <c r="Y21" s="72">
        <f>IF(N21-$S$5&lt;=0,0,CONCATENATE(NETWORKDAYS($S$5,N21,holiday!$B$4:$B$20)))</f>
        <v>0</v>
      </c>
      <c r="Z21" s="73">
        <f t="shared" si="5"/>
        <v>-0.46650000000000003</v>
      </c>
      <c r="AA21" s="74"/>
      <c r="AB21" s="121"/>
    </row>
    <row r="22" spans="1:30" s="202" customFormat="1" ht="30" customHeight="1" outlineLevel="1" x14ac:dyDescent="0.3">
      <c r="A22" s="96"/>
      <c r="B22" s="40">
        <v>13</v>
      </c>
      <c r="C22" s="275" t="s">
        <v>108</v>
      </c>
      <c r="D22" s="276">
        <v>3</v>
      </c>
      <c r="E22" s="289"/>
      <c r="F22" s="235"/>
      <c r="G22" s="235"/>
      <c r="H22" s="233" t="s">
        <v>207</v>
      </c>
      <c r="I22" s="233"/>
      <c r="J22" s="233"/>
      <c r="K22" s="233"/>
      <c r="L22" s="277" t="str">
        <f>CONCATENATE(NETWORKDAYS(M22,N22,holiday!B$4:B$20),"일")</f>
        <v>20일</v>
      </c>
      <c r="M22" s="293">
        <f>MIN(M23:M24)</f>
        <v>46083</v>
      </c>
      <c r="N22" s="293">
        <f>MAX(N23:N24)</f>
        <v>46111</v>
      </c>
      <c r="O22" s="279" t="s">
        <v>68</v>
      </c>
      <c r="P22" s="279" t="s">
        <v>183</v>
      </c>
      <c r="Q22" s="279" t="s">
        <v>405</v>
      </c>
      <c r="R22" s="280">
        <f>SUM(W23:W24)</f>
        <v>1</v>
      </c>
      <c r="S22" s="281"/>
      <c r="T22" s="281"/>
      <c r="U22" s="282">
        <f>SUM(X23:X24)</f>
        <v>0.31</v>
      </c>
      <c r="V22" s="290">
        <v>0.1</v>
      </c>
      <c r="W22" s="284">
        <f t="shared" si="3"/>
        <v>0.1</v>
      </c>
      <c r="X22" s="285">
        <f t="shared" si="4"/>
        <v>3.1E-2</v>
      </c>
      <c r="Y22" s="276">
        <f>IF(N22-$S$5&lt;=0,0,CONCATENATE(NETWORKDAYS($S$5,N22,holiday!$B$4:$B$20)))</f>
        <v>0</v>
      </c>
      <c r="Z22" s="286">
        <f t="shared" si="5"/>
        <v>-0.69000000000000006</v>
      </c>
      <c r="AA22" s="292"/>
      <c r="AB22" s="123"/>
    </row>
    <row r="23" spans="1:30" s="212" customFormat="1" ht="30" customHeight="1" outlineLevel="1" x14ac:dyDescent="0.3">
      <c r="A23" s="96"/>
      <c r="B23" s="40">
        <v>14</v>
      </c>
      <c r="C23" s="76" t="s">
        <v>245</v>
      </c>
      <c r="D23" s="83">
        <v>4</v>
      </c>
      <c r="E23" s="78"/>
      <c r="F23" s="177"/>
      <c r="G23" s="177"/>
      <c r="H23" s="79"/>
      <c r="I23" s="79" t="s">
        <v>476</v>
      </c>
      <c r="J23" s="79"/>
      <c r="K23" s="79"/>
      <c r="L23" s="77" t="str">
        <f>CONCATENATE(NETWORKDAYS(M23,N23,holiday!B$4:B$20),"일")</f>
        <v>20일</v>
      </c>
      <c r="M23" s="106">
        <v>46083</v>
      </c>
      <c r="N23" s="106">
        <v>46111</v>
      </c>
      <c r="O23" s="107" t="s">
        <v>68</v>
      </c>
      <c r="P23" s="107" t="s">
        <v>183</v>
      </c>
      <c r="Q23" s="107" t="s">
        <v>405</v>
      </c>
      <c r="R23" s="80">
        <f>IF(COUNTBLANK(M23:N23)&gt;0,0,1/NETWORKDAYS(M23,N23,holiday!B$4:B$20)*(IF($S$5&lt;=M23,0,NETWORKDAYS(M23,IF($S$5&gt;N23,N23,$S$5),holiday!B$4:B$20))))</f>
        <v>1</v>
      </c>
      <c r="S23" s="244"/>
      <c r="T23" s="244"/>
      <c r="U23" s="219">
        <v>0.31</v>
      </c>
      <c r="V23" s="99">
        <v>0.5</v>
      </c>
      <c r="W23" s="81">
        <f t="shared" si="3"/>
        <v>0.5</v>
      </c>
      <c r="X23" s="82">
        <f t="shared" si="4"/>
        <v>0.155</v>
      </c>
      <c r="Y23" s="83">
        <f>IF(N23-$S$5&lt;=0,0,CONCATENATE(NETWORKDAYS($S$5,N23,holiday!$B$4:$B$20)))</f>
        <v>0</v>
      </c>
      <c r="Z23" s="272">
        <f t="shared" si="5"/>
        <v>-0.69</v>
      </c>
      <c r="AA23" s="85"/>
      <c r="AB23" s="228"/>
    </row>
    <row r="24" spans="1:30" s="212" customFormat="1" ht="30" customHeight="1" outlineLevel="1" x14ac:dyDescent="0.3">
      <c r="A24" s="96"/>
      <c r="B24" s="40">
        <v>15</v>
      </c>
      <c r="C24" s="76" t="s">
        <v>122</v>
      </c>
      <c r="D24" s="83">
        <v>4</v>
      </c>
      <c r="E24" s="78"/>
      <c r="F24" s="177"/>
      <c r="G24" s="177"/>
      <c r="H24" s="79"/>
      <c r="I24" s="79" t="s">
        <v>475</v>
      </c>
      <c r="J24" s="79"/>
      <c r="K24" s="79"/>
      <c r="L24" s="77" t="str">
        <f>CONCATENATE(NETWORKDAYS(M24,N24,holiday!B$4:B$20),"일")</f>
        <v>20일</v>
      </c>
      <c r="M24" s="106">
        <v>46083</v>
      </c>
      <c r="N24" s="106">
        <v>46111</v>
      </c>
      <c r="O24" s="107" t="s">
        <v>68</v>
      </c>
      <c r="P24" s="107" t="s">
        <v>183</v>
      </c>
      <c r="Q24" s="107" t="s">
        <v>405</v>
      </c>
      <c r="R24" s="80">
        <f>IF(COUNTBLANK(M24:N24)&gt;0,0,1/NETWORKDAYS(M24,N24,holiday!B$4:B$20)*(IF($S$5&lt;=M24,0,NETWORKDAYS(M24,IF($S$5&gt;N24,N24,$S$5),holiday!B$4:B$20))))</f>
        <v>1</v>
      </c>
      <c r="S24" s="244"/>
      <c r="T24" s="244"/>
      <c r="U24" s="219">
        <v>0.31</v>
      </c>
      <c r="V24" s="99">
        <v>0.5</v>
      </c>
      <c r="W24" s="81">
        <f t="shared" si="3"/>
        <v>0.5</v>
      </c>
      <c r="X24" s="82">
        <f t="shared" si="4"/>
        <v>0.155</v>
      </c>
      <c r="Y24" s="83">
        <f>IF(N24-$S$5&lt;=0,0,CONCATENATE(NETWORKDAYS($S$5,N24,holiday!$B$4:$B$20)))</f>
        <v>0</v>
      </c>
      <c r="Z24" s="272">
        <f t="shared" si="5"/>
        <v>-0.69</v>
      </c>
      <c r="AA24" s="85"/>
      <c r="AB24" s="228"/>
    </row>
    <row r="25" spans="1:30" s="202" customFormat="1" ht="30" customHeight="1" outlineLevel="1" x14ac:dyDescent="0.3">
      <c r="A25" s="96"/>
      <c r="B25" s="40">
        <v>16</v>
      </c>
      <c r="C25" s="275" t="s">
        <v>246</v>
      </c>
      <c r="D25" s="276">
        <v>3</v>
      </c>
      <c r="E25" s="289"/>
      <c r="F25" s="235"/>
      <c r="G25" s="235"/>
      <c r="H25" s="233" t="s">
        <v>478</v>
      </c>
      <c r="I25" s="233"/>
      <c r="J25" s="233"/>
      <c r="K25" s="233"/>
      <c r="L25" s="277" t="str">
        <f>CONCATENATE(NETWORKDAYS(M25,N25,holiday!B$4:B$20),"일")</f>
        <v>6일</v>
      </c>
      <c r="M25" s="293">
        <f>MIN(M26,M28,M29)</f>
        <v>46104</v>
      </c>
      <c r="N25" s="293">
        <f>MAX(N26,N28,N29)</f>
        <v>46111</v>
      </c>
      <c r="O25" s="279" t="s">
        <v>68</v>
      </c>
      <c r="P25" s="279" t="s">
        <v>183</v>
      </c>
      <c r="Q25" s="279" t="s">
        <v>405</v>
      </c>
      <c r="R25" s="280">
        <f>SUM(W26:W29)</f>
        <v>1</v>
      </c>
      <c r="S25" s="281"/>
      <c r="T25" s="281"/>
      <c r="U25" s="282">
        <f>SUM(X26:X29)</f>
        <v>0</v>
      </c>
      <c r="V25" s="290">
        <v>0.15</v>
      </c>
      <c r="W25" s="284">
        <f t="shared" si="3"/>
        <v>0.15</v>
      </c>
      <c r="X25" s="285">
        <f t="shared" si="4"/>
        <v>0</v>
      </c>
      <c r="Y25" s="276">
        <f>IF(N25-$S$5&lt;=0,0,CONCATENATE(NETWORKDAYS($S$5,N25,holiday!$B$4:$B$20)))</f>
        <v>0</v>
      </c>
      <c r="Z25" s="288">
        <f t="shared" si="5"/>
        <v>-1</v>
      </c>
      <c r="AA25" s="292"/>
      <c r="AB25" s="123"/>
    </row>
    <row r="26" spans="1:30" s="212" customFormat="1" ht="30" customHeight="1" outlineLevel="1" x14ac:dyDescent="0.3">
      <c r="A26" s="96"/>
      <c r="B26" s="40">
        <v>17</v>
      </c>
      <c r="C26" s="76" t="s">
        <v>247</v>
      </c>
      <c r="D26" s="83">
        <v>4</v>
      </c>
      <c r="E26" s="78"/>
      <c r="F26" s="177"/>
      <c r="G26" s="177"/>
      <c r="H26" s="79"/>
      <c r="I26" s="79" t="s">
        <v>477</v>
      </c>
      <c r="J26" s="79"/>
      <c r="K26" s="79"/>
      <c r="L26" s="77" t="str">
        <f>CONCATENATE(NETWORKDAYS(M26,N26,holiday!B$4:B$20),"일")</f>
        <v>6일</v>
      </c>
      <c r="M26" s="106">
        <v>46104</v>
      </c>
      <c r="N26" s="106">
        <v>46111</v>
      </c>
      <c r="O26" s="107" t="s">
        <v>68</v>
      </c>
      <c r="P26" s="107" t="s">
        <v>183</v>
      </c>
      <c r="Q26" s="107" t="s">
        <v>405</v>
      </c>
      <c r="R26" s="80">
        <f>IF(COUNTBLANK(M26:N26)&gt;0,0,1/NETWORKDAYS(M26,N26,holiday!B$4:B$20)*(IF($S$5&lt;=M26,0,NETWORKDAYS(M26,IF($S$5&gt;N26,N26,$S$5),holiday!B$4:B$20))))</f>
        <v>1</v>
      </c>
      <c r="S26" s="244"/>
      <c r="T26" s="244"/>
      <c r="U26" s="219">
        <v>0</v>
      </c>
      <c r="V26" s="99">
        <v>0.25</v>
      </c>
      <c r="W26" s="81">
        <f t="shared" ref="W26" si="6">R26*V26</f>
        <v>0.25</v>
      </c>
      <c r="X26" s="82">
        <f t="shared" ref="X26" si="7">U26*V26</f>
        <v>0</v>
      </c>
      <c r="Y26" s="83">
        <f>IF(N26-$S$5&lt;=0,0,CONCATENATE(NETWORKDAYS($S$5,N26,holiday!$B$4:$B$20)))</f>
        <v>0</v>
      </c>
      <c r="Z26" s="84">
        <f t="shared" ref="Z26" si="8">IF(SUM(W26:X26)&gt;0,(X26-W26)/V26,0)</f>
        <v>-1</v>
      </c>
      <c r="AA26" s="224"/>
      <c r="AB26" s="228"/>
    </row>
    <row r="27" spans="1:30" s="212" customFormat="1" ht="30" customHeight="1" outlineLevel="1" x14ac:dyDescent="0.3">
      <c r="A27" s="226"/>
      <c r="B27" s="40">
        <v>18</v>
      </c>
      <c r="C27" s="98" t="s">
        <v>498</v>
      </c>
      <c r="D27" s="77"/>
      <c r="E27" s="94"/>
      <c r="F27" s="108"/>
      <c r="G27" s="108"/>
      <c r="H27" s="97"/>
      <c r="I27" s="95" t="s">
        <v>481</v>
      </c>
      <c r="J27" s="95"/>
      <c r="K27" s="95"/>
      <c r="L27" s="77" t="str">
        <f>CONCATENATE(NETWORKDAYS(M27,N27,holiday!B$4:B$20),"일")</f>
        <v>6일</v>
      </c>
      <c r="M27" s="178">
        <v>46104</v>
      </c>
      <c r="N27" s="178">
        <v>46111</v>
      </c>
      <c r="O27" s="179" t="s">
        <v>68</v>
      </c>
      <c r="P27" s="179" t="s">
        <v>183</v>
      </c>
      <c r="Q27" s="179" t="s">
        <v>405</v>
      </c>
      <c r="R27" s="99">
        <f>IF(COUNTBLANK(M27:N27)&gt;0,0,1/NETWORKDAYS(M27,N27)*(IF($S$5&lt;=M27,0,NETWORKDAYS(M27,IF($S$5&gt;N27,N27,$S$5)))))</f>
        <v>1</v>
      </c>
      <c r="S27" s="220"/>
      <c r="T27" s="220"/>
      <c r="U27" s="201">
        <v>0</v>
      </c>
      <c r="V27" s="99">
        <v>0.25</v>
      </c>
      <c r="W27" s="81">
        <f t="shared" ref="W27" si="9">R27*V27</f>
        <v>0.25</v>
      </c>
      <c r="X27" s="82">
        <f t="shared" ref="X27" si="10">U27*V27</f>
        <v>0</v>
      </c>
      <c r="Y27" s="83">
        <f>IF(N27-$S$5&lt;=0,0,CONCATENATE(NETWORKDAYS($S$5,N27,holiday!$B$4:$B$20)))</f>
        <v>0</v>
      </c>
      <c r="Z27" s="84">
        <f t="shared" ref="Z27" si="11">IF(SUM(W27:X27)&gt;0,(X27-W27)/V27,0)</f>
        <v>-1</v>
      </c>
      <c r="AA27" s="224"/>
      <c r="AB27" s="228"/>
    </row>
    <row r="28" spans="1:30" s="212" customFormat="1" ht="30" customHeight="1" outlineLevel="1" x14ac:dyDescent="0.3">
      <c r="A28" s="96"/>
      <c r="B28" s="40">
        <v>19</v>
      </c>
      <c r="C28" s="76" t="s">
        <v>499</v>
      </c>
      <c r="D28" s="83">
        <v>4</v>
      </c>
      <c r="E28" s="78"/>
      <c r="F28" s="177"/>
      <c r="G28" s="177"/>
      <c r="H28" s="79"/>
      <c r="I28" s="79" t="s">
        <v>483</v>
      </c>
      <c r="J28" s="79"/>
      <c r="K28" s="79"/>
      <c r="L28" s="77" t="str">
        <f>CONCATENATE(NETWORKDAYS(M28,N28,holiday!B$4:B$20),"일")</f>
        <v>6일</v>
      </c>
      <c r="M28" s="106">
        <v>46104</v>
      </c>
      <c r="N28" s="106">
        <v>46111</v>
      </c>
      <c r="O28" s="107" t="s">
        <v>68</v>
      </c>
      <c r="P28" s="107" t="s">
        <v>183</v>
      </c>
      <c r="Q28" s="107" t="s">
        <v>405</v>
      </c>
      <c r="R28" s="80">
        <f>IF(COUNTBLANK(M28:N28)&gt;0,0,1/NETWORKDAYS(M28,N28,holiday!B$4:B$20)*(IF($S$5&lt;=M28,0,NETWORKDAYS(M28,IF($S$5&gt;N28,N28,$S$5),holiday!B$4:B$20))))</f>
        <v>1</v>
      </c>
      <c r="S28" s="244"/>
      <c r="T28" s="244"/>
      <c r="U28" s="219">
        <v>0</v>
      </c>
      <c r="V28" s="99">
        <v>0.25</v>
      </c>
      <c r="W28" s="81">
        <f t="shared" ref="W28:W29" si="12">R28*V28</f>
        <v>0.25</v>
      </c>
      <c r="X28" s="82">
        <f t="shared" ref="X28:X29" si="13">U28*V28</f>
        <v>0</v>
      </c>
      <c r="Y28" s="83">
        <f>IF(N28-$S$5&lt;=0,0,CONCATENATE(NETWORKDAYS($S$5,N28,holiday!$B$4:$B$20)))</f>
        <v>0</v>
      </c>
      <c r="Z28" s="84">
        <f t="shared" ref="Z28:Z29" si="14">IF(SUM(W28:X28)&gt;0,(X28-W28)/V28,0)</f>
        <v>-1</v>
      </c>
      <c r="AA28" s="224"/>
      <c r="AB28" s="228"/>
    </row>
    <row r="29" spans="1:30" s="212" customFormat="1" ht="30" customHeight="1" outlineLevel="1" x14ac:dyDescent="0.3">
      <c r="A29" s="96"/>
      <c r="B29" s="40">
        <v>20</v>
      </c>
      <c r="C29" s="76" t="s">
        <v>500</v>
      </c>
      <c r="D29" s="83">
        <v>4</v>
      </c>
      <c r="E29" s="78"/>
      <c r="F29" s="177"/>
      <c r="G29" s="177"/>
      <c r="H29" s="79"/>
      <c r="I29" s="79" t="s">
        <v>482</v>
      </c>
      <c r="J29" s="79"/>
      <c r="K29" s="79"/>
      <c r="L29" s="77" t="str">
        <f>CONCATENATE(NETWORKDAYS(M29,N29,holiday!B$4:B$20),"일")</f>
        <v>6일</v>
      </c>
      <c r="M29" s="106">
        <v>46104</v>
      </c>
      <c r="N29" s="106">
        <v>46111</v>
      </c>
      <c r="O29" s="107" t="s">
        <v>68</v>
      </c>
      <c r="P29" s="107" t="s">
        <v>183</v>
      </c>
      <c r="Q29" s="107" t="s">
        <v>405</v>
      </c>
      <c r="R29" s="80">
        <f>IF(COUNTBLANK(M29:N29)&gt;0,0,1/NETWORKDAYS(M29,N29,holiday!B$4:B$20)*(IF($S$5&lt;=M29,0,NETWORKDAYS(M29,IF($S$5&gt;N29,N29,$S$5),holiday!B$4:B$20))))</f>
        <v>1</v>
      </c>
      <c r="S29" s="244"/>
      <c r="T29" s="244"/>
      <c r="U29" s="219">
        <v>0</v>
      </c>
      <c r="V29" s="99">
        <v>0.25</v>
      </c>
      <c r="W29" s="81">
        <f t="shared" si="12"/>
        <v>0.25</v>
      </c>
      <c r="X29" s="82">
        <f t="shared" si="13"/>
        <v>0</v>
      </c>
      <c r="Y29" s="83">
        <f>IF(N29-$S$5&lt;=0,0,CONCATENATE(NETWORKDAYS($S$5,N29,holiday!$B$4:$B$20)))</f>
        <v>0</v>
      </c>
      <c r="Z29" s="84">
        <f t="shared" si="14"/>
        <v>-1</v>
      </c>
      <c r="AA29" s="224"/>
      <c r="AB29" s="228"/>
    </row>
    <row r="30" spans="1:30" s="202" customFormat="1" ht="30" customHeight="1" outlineLevel="1" x14ac:dyDescent="0.3">
      <c r="A30" s="96"/>
      <c r="B30" s="40">
        <v>21</v>
      </c>
      <c r="C30" s="275" t="s">
        <v>246</v>
      </c>
      <c r="D30" s="276">
        <v>3</v>
      </c>
      <c r="E30" s="289"/>
      <c r="F30" s="235"/>
      <c r="G30" s="235"/>
      <c r="H30" s="233" t="s">
        <v>479</v>
      </c>
      <c r="I30" s="233"/>
      <c r="J30" s="233"/>
      <c r="K30" s="233"/>
      <c r="L30" s="277" t="str">
        <f>CONCATENATE(NETWORKDAYS(M30,N30,holiday!B$4:B$20),"일")</f>
        <v>6일</v>
      </c>
      <c r="M30" s="293">
        <f>MIN(M31,M32,M33,M34)</f>
        <v>46104</v>
      </c>
      <c r="N30" s="293">
        <f>MAX(N31,N32,N33,N34)</f>
        <v>46111</v>
      </c>
      <c r="O30" s="279" t="s">
        <v>68</v>
      </c>
      <c r="P30" s="279" t="s">
        <v>183</v>
      </c>
      <c r="Q30" s="279" t="s">
        <v>405</v>
      </c>
      <c r="R30" s="280">
        <f>SUM(W31:W34)</f>
        <v>1</v>
      </c>
      <c r="S30" s="281"/>
      <c r="T30" s="281"/>
      <c r="U30" s="282">
        <f>SUM(X31:X34)</f>
        <v>0</v>
      </c>
      <c r="V30" s="290">
        <v>0.15</v>
      </c>
      <c r="W30" s="284">
        <f t="shared" ref="W30:W31" si="15">R30*V30</f>
        <v>0.15</v>
      </c>
      <c r="X30" s="285">
        <f t="shared" ref="X30:X31" si="16">U30*V30</f>
        <v>0</v>
      </c>
      <c r="Y30" s="276">
        <f>IF(N30-$S$5&lt;=0,0,CONCATENATE(NETWORKDAYS($S$5,N30,holiday!$B$4:$B$20)))</f>
        <v>0</v>
      </c>
      <c r="Z30" s="288">
        <f t="shared" ref="Z30:Z31" si="17">IF(SUM(W30:X30)&gt;0,(X30-W30)/V30,0)</f>
        <v>-1</v>
      </c>
      <c r="AA30" s="292"/>
      <c r="AB30" s="123"/>
    </row>
    <row r="31" spans="1:30" s="212" customFormat="1" ht="30" customHeight="1" outlineLevel="1" x14ac:dyDescent="0.3">
      <c r="A31" s="96"/>
      <c r="B31" s="40">
        <v>22</v>
      </c>
      <c r="C31" s="76" t="s">
        <v>247</v>
      </c>
      <c r="D31" s="83">
        <v>4</v>
      </c>
      <c r="E31" s="78"/>
      <c r="F31" s="177"/>
      <c r="G31" s="177"/>
      <c r="H31" s="79"/>
      <c r="I31" s="79" t="s">
        <v>484</v>
      </c>
      <c r="J31" s="79"/>
      <c r="K31" s="79"/>
      <c r="L31" s="77" t="str">
        <f>CONCATENATE(NETWORKDAYS(M31,N31,holiday!B$4:B$20),"일")</f>
        <v>6일</v>
      </c>
      <c r="M31" s="106">
        <v>46104</v>
      </c>
      <c r="N31" s="106">
        <v>46111</v>
      </c>
      <c r="O31" s="107" t="s">
        <v>68</v>
      </c>
      <c r="P31" s="107" t="s">
        <v>183</v>
      </c>
      <c r="Q31" s="107" t="s">
        <v>405</v>
      </c>
      <c r="R31" s="80">
        <f>IF(COUNTBLANK(M31:N31)&gt;0,0,1/NETWORKDAYS(M31,N31,holiday!B$4:B$20)*(IF($S$5&lt;=M31,0,NETWORKDAYS(M31,IF($S$5&gt;N31,N31,$S$5),holiday!B$4:B$20))))</f>
        <v>1</v>
      </c>
      <c r="S31" s="244"/>
      <c r="T31" s="244"/>
      <c r="U31" s="219">
        <v>0</v>
      </c>
      <c r="V31" s="99">
        <v>0.25</v>
      </c>
      <c r="W31" s="81">
        <f t="shared" si="15"/>
        <v>0.25</v>
      </c>
      <c r="X31" s="82">
        <f t="shared" si="16"/>
        <v>0</v>
      </c>
      <c r="Y31" s="83">
        <f>IF(N31-$S$5&lt;=0,0,CONCATENATE(NETWORKDAYS($S$5,N31,holiday!$B$4:$B$20)))</f>
        <v>0</v>
      </c>
      <c r="Z31" s="84">
        <f t="shared" si="17"/>
        <v>-1</v>
      </c>
      <c r="AA31" s="224"/>
      <c r="AB31" s="228"/>
    </row>
    <row r="32" spans="1:30" s="212" customFormat="1" ht="30" customHeight="1" outlineLevel="1" x14ac:dyDescent="0.3">
      <c r="A32" s="96"/>
      <c r="B32" s="40">
        <v>23</v>
      </c>
      <c r="C32" s="76" t="s">
        <v>248</v>
      </c>
      <c r="D32" s="83">
        <v>4</v>
      </c>
      <c r="E32" s="78"/>
      <c r="F32" s="177"/>
      <c r="G32" s="177"/>
      <c r="H32" s="79"/>
      <c r="I32" s="79" t="s">
        <v>486</v>
      </c>
      <c r="J32" s="79"/>
      <c r="K32" s="79"/>
      <c r="L32" s="77" t="str">
        <f>CONCATENATE(NETWORKDAYS(M32,N32,holiday!B$4:B$20),"일")</f>
        <v>6일</v>
      </c>
      <c r="M32" s="106">
        <v>46104</v>
      </c>
      <c r="N32" s="106">
        <v>46111</v>
      </c>
      <c r="O32" s="107" t="s">
        <v>68</v>
      </c>
      <c r="P32" s="107" t="s">
        <v>183</v>
      </c>
      <c r="Q32" s="107" t="s">
        <v>405</v>
      </c>
      <c r="R32" s="80">
        <f>IF(COUNTBLANK(M32:N32)&gt;0,0,1/NETWORKDAYS(M32,N32,holiday!B$4:B$20)*(IF($S$5&lt;=M32,0,NETWORKDAYS(M32,IF($S$5&gt;N32,N32,$S$5),holiday!B$4:B$20))))</f>
        <v>1</v>
      </c>
      <c r="S32" s="244"/>
      <c r="T32" s="244"/>
      <c r="U32" s="219">
        <v>0</v>
      </c>
      <c r="V32" s="99">
        <v>0.25</v>
      </c>
      <c r="W32" s="81">
        <f t="shared" ref="W32:W34" si="18">R32*V32</f>
        <v>0.25</v>
      </c>
      <c r="X32" s="82">
        <f t="shared" ref="X32:X34" si="19">U32*V32</f>
        <v>0</v>
      </c>
      <c r="Y32" s="83">
        <f>IF(N32-$S$5&lt;=0,0,CONCATENATE(NETWORKDAYS($S$5,N32,holiday!$B$4:$B$20)))</f>
        <v>0</v>
      </c>
      <c r="Z32" s="84">
        <f t="shared" ref="Z32:Z34" si="20">IF(SUM(W32:X32)&gt;0,(X32-W32)/V32,0)</f>
        <v>-1</v>
      </c>
      <c r="AA32" s="224"/>
      <c r="AB32" s="228"/>
    </row>
    <row r="33" spans="1:28" s="212" customFormat="1" ht="30" customHeight="1" outlineLevel="1" x14ac:dyDescent="0.3">
      <c r="A33" s="96"/>
      <c r="B33" s="40">
        <v>24</v>
      </c>
      <c r="C33" s="76" t="s">
        <v>249</v>
      </c>
      <c r="D33" s="83">
        <v>4</v>
      </c>
      <c r="E33" s="78"/>
      <c r="F33" s="177"/>
      <c r="G33" s="177"/>
      <c r="H33" s="79"/>
      <c r="I33" s="79" t="s">
        <v>487</v>
      </c>
      <c r="J33" s="79"/>
      <c r="K33" s="79"/>
      <c r="L33" s="77" t="str">
        <f>CONCATENATE(NETWORKDAYS(M33,N33,holiday!B$4:B$20),"일")</f>
        <v>6일</v>
      </c>
      <c r="M33" s="106">
        <v>46104</v>
      </c>
      <c r="N33" s="106">
        <v>46111</v>
      </c>
      <c r="O33" s="107" t="s">
        <v>68</v>
      </c>
      <c r="P33" s="107" t="s">
        <v>183</v>
      </c>
      <c r="Q33" s="107" t="s">
        <v>405</v>
      </c>
      <c r="R33" s="80">
        <f>IF(COUNTBLANK(M33:N33)&gt;0,0,1/NETWORKDAYS(M33,N33,holiday!B$4:B$20)*(IF($S$5&lt;=M33,0,NETWORKDAYS(M33,IF($S$5&gt;N33,N33,$S$5),holiday!B$4:B$20))))</f>
        <v>1</v>
      </c>
      <c r="S33" s="244"/>
      <c r="T33" s="244"/>
      <c r="U33" s="219">
        <v>0</v>
      </c>
      <c r="V33" s="99">
        <v>0.25</v>
      </c>
      <c r="W33" s="81">
        <f t="shared" ref="W33" si="21">R33*V33</f>
        <v>0.25</v>
      </c>
      <c r="X33" s="82">
        <f t="shared" ref="X33" si="22">U33*V33</f>
        <v>0</v>
      </c>
      <c r="Y33" s="83">
        <f>IF(N33-$S$5&lt;=0,0,CONCATENATE(NETWORKDAYS($S$5,N33,holiday!$B$4:$B$20)))</f>
        <v>0</v>
      </c>
      <c r="Z33" s="84">
        <f t="shared" ref="Z33" si="23">IF(SUM(W33:X33)&gt;0,(X33-W33)/V33,0)</f>
        <v>-1</v>
      </c>
      <c r="AA33" s="224"/>
      <c r="AB33" s="228"/>
    </row>
    <row r="34" spans="1:28" s="212" customFormat="1" ht="30" customHeight="1" outlineLevel="1" x14ac:dyDescent="0.3">
      <c r="A34" s="96"/>
      <c r="B34" s="40">
        <v>25</v>
      </c>
      <c r="C34" s="76" t="s">
        <v>249</v>
      </c>
      <c r="D34" s="83">
        <v>4</v>
      </c>
      <c r="E34" s="78"/>
      <c r="F34" s="177"/>
      <c r="G34" s="177"/>
      <c r="H34" s="79"/>
      <c r="I34" s="79" t="s">
        <v>485</v>
      </c>
      <c r="J34" s="79"/>
      <c r="K34" s="79"/>
      <c r="L34" s="77" t="str">
        <f>CONCATENATE(NETWORKDAYS(M34,N34,holiday!B$4:B$20),"일")</f>
        <v>6일</v>
      </c>
      <c r="M34" s="106">
        <v>46104</v>
      </c>
      <c r="N34" s="106">
        <v>46111</v>
      </c>
      <c r="O34" s="107" t="s">
        <v>68</v>
      </c>
      <c r="P34" s="107" t="s">
        <v>183</v>
      </c>
      <c r="Q34" s="107" t="s">
        <v>405</v>
      </c>
      <c r="R34" s="80">
        <f>IF(COUNTBLANK(M34:N34)&gt;0,0,1/NETWORKDAYS(M34,N34,holiday!B$4:B$20)*(IF($S$5&lt;=M34,0,NETWORKDAYS(M34,IF($S$5&gt;N34,N34,$S$5),holiday!B$4:B$20))))</f>
        <v>1</v>
      </c>
      <c r="S34" s="244"/>
      <c r="T34" s="244"/>
      <c r="U34" s="219">
        <v>0</v>
      </c>
      <c r="V34" s="99">
        <v>0.25</v>
      </c>
      <c r="W34" s="81">
        <f t="shared" si="18"/>
        <v>0.25</v>
      </c>
      <c r="X34" s="82">
        <f t="shared" si="19"/>
        <v>0</v>
      </c>
      <c r="Y34" s="83">
        <f>IF(N34-$S$5&lt;=0,0,CONCATENATE(NETWORKDAYS($S$5,N34,holiday!$B$4:$B$20)))</f>
        <v>0</v>
      </c>
      <c r="Z34" s="84">
        <f t="shared" si="20"/>
        <v>-1</v>
      </c>
      <c r="AA34" s="224"/>
      <c r="AB34" s="228"/>
    </row>
    <row r="35" spans="1:28" s="202" customFormat="1" ht="30" customHeight="1" outlineLevel="1" x14ac:dyDescent="0.3">
      <c r="A35" s="96"/>
      <c r="B35" s="40">
        <v>26</v>
      </c>
      <c r="C35" s="275" t="s">
        <v>246</v>
      </c>
      <c r="D35" s="276">
        <v>3</v>
      </c>
      <c r="E35" s="289"/>
      <c r="F35" s="235"/>
      <c r="G35" s="235"/>
      <c r="H35" s="233" t="s">
        <v>480</v>
      </c>
      <c r="I35" s="233"/>
      <c r="J35" s="233"/>
      <c r="K35" s="233"/>
      <c r="L35" s="277" t="str">
        <f>CONCATENATE(NETWORKDAYS(M35,N35,holiday!B$4:B$20),"일")</f>
        <v>6일</v>
      </c>
      <c r="M35" s="293">
        <f>MIN(M36:M38)</f>
        <v>46104</v>
      </c>
      <c r="N35" s="293">
        <f>MAX(N36:N38)</f>
        <v>46111</v>
      </c>
      <c r="O35" s="279" t="s">
        <v>68</v>
      </c>
      <c r="P35" s="279" t="s">
        <v>183</v>
      </c>
      <c r="Q35" s="279" t="s">
        <v>405</v>
      </c>
      <c r="R35" s="280">
        <f>SUM(W36:W41)</f>
        <v>0.65</v>
      </c>
      <c r="S35" s="281"/>
      <c r="T35" s="281"/>
      <c r="U35" s="282">
        <f>SUM(X36:X41)</f>
        <v>0</v>
      </c>
      <c r="V35" s="290">
        <v>0.15</v>
      </c>
      <c r="W35" s="284">
        <f t="shared" si="3"/>
        <v>9.7500000000000003E-2</v>
      </c>
      <c r="X35" s="285">
        <f t="shared" si="4"/>
        <v>0</v>
      </c>
      <c r="Y35" s="276">
        <f>IF(N35-$S$5&lt;=0,0,CONCATENATE(NETWORKDAYS($S$5,N35,holiday!$B$4:$B$20)))</f>
        <v>0</v>
      </c>
      <c r="Z35" s="288">
        <f t="shared" si="5"/>
        <v>-0.65</v>
      </c>
      <c r="AA35" s="292"/>
      <c r="AB35" s="123"/>
    </row>
    <row r="36" spans="1:28" s="212" customFormat="1" ht="30" customHeight="1" outlineLevel="1" x14ac:dyDescent="0.3">
      <c r="A36" s="96"/>
      <c r="B36" s="40">
        <v>27</v>
      </c>
      <c r="C36" s="76" t="s">
        <v>247</v>
      </c>
      <c r="D36" s="83">
        <v>5</v>
      </c>
      <c r="E36" s="78"/>
      <c r="F36" s="177"/>
      <c r="G36" s="177"/>
      <c r="H36" s="79"/>
      <c r="I36" s="79" t="s">
        <v>488</v>
      </c>
      <c r="J36" s="79"/>
      <c r="K36" s="79"/>
      <c r="L36" s="77" t="str">
        <f>CONCATENATE(NETWORKDAYS(M36,N36,holiday!B$4:B$20),"일")</f>
        <v>6일</v>
      </c>
      <c r="M36" s="106">
        <v>46104</v>
      </c>
      <c r="N36" s="106">
        <v>46111</v>
      </c>
      <c r="O36" s="107" t="s">
        <v>68</v>
      </c>
      <c r="P36" s="107" t="s">
        <v>183</v>
      </c>
      <c r="Q36" s="107" t="s">
        <v>405</v>
      </c>
      <c r="R36" s="80">
        <f>IF(COUNTBLANK(M36:N36)&gt;0,0,1/NETWORKDAYS(M36,N36,holiday!B$4:B$20)*(IF($S$5&lt;=M36,0,NETWORKDAYS(M36,IF($S$5&gt;N36,N36,$S$5),holiday!B$4:B$20))))</f>
        <v>1</v>
      </c>
      <c r="S36" s="244"/>
      <c r="T36" s="244"/>
      <c r="U36" s="219">
        <v>0</v>
      </c>
      <c r="V36" s="99">
        <v>0.2</v>
      </c>
      <c r="W36" s="81">
        <f t="shared" ref="W36:W38" si="24">R36*V36</f>
        <v>0.2</v>
      </c>
      <c r="X36" s="82">
        <f t="shared" ref="X36:X38" si="25">U36*V36</f>
        <v>0</v>
      </c>
      <c r="Y36" s="83">
        <f>IF(N36-$S$5&lt;=0,0,CONCATENATE(NETWORKDAYS($S$5,N36,holiday!$B$4:$B$20)))</f>
        <v>0</v>
      </c>
      <c r="Z36" s="84">
        <f t="shared" ref="Z36:Z38" si="26">IF(SUM(W36:X36)&gt;0,(X36-W36)/V36,0)</f>
        <v>-1</v>
      </c>
      <c r="AA36" s="224"/>
      <c r="AB36" s="228"/>
    </row>
    <row r="37" spans="1:28" s="212" customFormat="1" ht="30" customHeight="1" outlineLevel="1" x14ac:dyDescent="0.3">
      <c r="A37" s="96"/>
      <c r="B37" s="40">
        <v>28</v>
      </c>
      <c r="C37" s="76" t="s">
        <v>498</v>
      </c>
      <c r="D37" s="83">
        <v>5</v>
      </c>
      <c r="E37" s="78"/>
      <c r="F37" s="177"/>
      <c r="G37" s="177"/>
      <c r="H37" s="79"/>
      <c r="I37" s="79" t="s">
        <v>489</v>
      </c>
      <c r="J37" s="79"/>
      <c r="K37" s="79"/>
      <c r="L37" s="77" t="str">
        <f>CONCATENATE(NETWORKDAYS(M37,N37,holiday!B$4:B$20),"일")</f>
        <v>6일</v>
      </c>
      <c r="M37" s="106">
        <v>46104</v>
      </c>
      <c r="N37" s="106">
        <v>46111</v>
      </c>
      <c r="O37" s="107" t="s">
        <v>68</v>
      </c>
      <c r="P37" s="107" t="s">
        <v>183</v>
      </c>
      <c r="Q37" s="107" t="s">
        <v>405</v>
      </c>
      <c r="R37" s="80">
        <f>IF(COUNTBLANK(M37:N37)&gt;0,0,1/NETWORKDAYS(M37,N37,holiday!B$4:B$20)*(IF($S$5&lt;=M37,0,NETWORKDAYS(M37,IF($S$5&gt;N37,N37,$S$5),holiday!B$4:B$20))))</f>
        <v>1</v>
      </c>
      <c r="S37" s="244"/>
      <c r="T37" s="244"/>
      <c r="U37" s="219">
        <v>0</v>
      </c>
      <c r="V37" s="99">
        <v>0.2</v>
      </c>
      <c r="W37" s="81">
        <f t="shared" si="24"/>
        <v>0.2</v>
      </c>
      <c r="X37" s="82">
        <f t="shared" si="25"/>
        <v>0</v>
      </c>
      <c r="Y37" s="83">
        <f>IF(N37-$S$5&lt;=0,0,CONCATENATE(NETWORKDAYS($S$5,N37,holiday!$B$4:$B$20)))</f>
        <v>0</v>
      </c>
      <c r="Z37" s="84">
        <f t="shared" si="26"/>
        <v>-1</v>
      </c>
      <c r="AA37" s="224"/>
      <c r="AB37" s="228"/>
    </row>
    <row r="38" spans="1:28" s="212" customFormat="1" ht="30" customHeight="1" outlineLevel="1" x14ac:dyDescent="0.3">
      <c r="A38" s="96"/>
      <c r="B38" s="40">
        <v>29</v>
      </c>
      <c r="C38" s="76" t="s">
        <v>499</v>
      </c>
      <c r="D38" s="83">
        <v>5</v>
      </c>
      <c r="E38" s="78"/>
      <c r="F38" s="177"/>
      <c r="G38" s="177"/>
      <c r="H38" s="79"/>
      <c r="I38" s="79" t="s">
        <v>490</v>
      </c>
      <c r="J38" s="79"/>
      <c r="K38" s="79"/>
      <c r="L38" s="77" t="str">
        <f>CONCATENATE(NETWORKDAYS(M38,N38,holiday!B$4:B$20),"일")</f>
        <v>6일</v>
      </c>
      <c r="M38" s="106">
        <v>46104</v>
      </c>
      <c r="N38" s="106">
        <v>46111</v>
      </c>
      <c r="O38" s="107" t="s">
        <v>68</v>
      </c>
      <c r="P38" s="107" t="s">
        <v>183</v>
      </c>
      <c r="Q38" s="107" t="s">
        <v>405</v>
      </c>
      <c r="R38" s="80">
        <f>IF(COUNTBLANK(M38:N38)&gt;0,0,1/NETWORKDAYS(M38,N38,holiday!B$4:B$20)*(IF($S$5&lt;=M38,0,NETWORKDAYS(M38,IF($S$5&gt;N38,N38,$S$5),holiday!B$4:B$20))))</f>
        <v>1</v>
      </c>
      <c r="S38" s="244"/>
      <c r="T38" s="244"/>
      <c r="U38" s="219">
        <v>0</v>
      </c>
      <c r="V38" s="99">
        <v>0.25</v>
      </c>
      <c r="W38" s="81">
        <f t="shared" si="24"/>
        <v>0.25</v>
      </c>
      <c r="X38" s="82">
        <f t="shared" si="25"/>
        <v>0</v>
      </c>
      <c r="Y38" s="83">
        <f>IF(N38-$S$5&lt;=0,0,CONCATENATE(NETWORKDAYS($S$5,N38,holiday!$B$4:$B$20)))</f>
        <v>0</v>
      </c>
      <c r="Z38" s="84">
        <f t="shared" si="26"/>
        <v>-1</v>
      </c>
      <c r="AA38" s="224"/>
      <c r="AB38" s="228"/>
    </row>
    <row r="39" spans="1:28" s="212" customFormat="1" ht="30" customHeight="1" outlineLevel="1" x14ac:dyDescent="0.3">
      <c r="A39" s="96"/>
      <c r="B39" s="40">
        <v>30</v>
      </c>
      <c r="C39" s="76" t="s">
        <v>500</v>
      </c>
      <c r="D39" s="83">
        <v>5</v>
      </c>
      <c r="E39" s="78"/>
      <c r="F39" s="177"/>
      <c r="G39" s="177"/>
      <c r="H39" s="79"/>
      <c r="I39" s="79" t="s">
        <v>491</v>
      </c>
      <c r="J39" s="79"/>
      <c r="K39" s="79"/>
      <c r="L39" s="77" t="str">
        <f>CONCATENATE(NETWORKDAYS(M39,N39,holiday!B$4:B$20),"일")</f>
        <v>29일</v>
      </c>
      <c r="M39" s="106">
        <v>46162</v>
      </c>
      <c r="N39" s="106">
        <v>46203</v>
      </c>
      <c r="O39" s="107" t="s">
        <v>68</v>
      </c>
      <c r="P39" s="107" t="s">
        <v>183</v>
      </c>
      <c r="Q39" s="107" t="s">
        <v>405</v>
      </c>
      <c r="R39" s="80">
        <f>IF(COUNTBLANK(M39:N39)&gt;0,0,1/NETWORKDAYS(M39,N39,holiday!B$4:B$20)*(IF($S$5&lt;=M39,0,NETWORKDAYS(M39,IF($S$5&gt;N39,N39,$S$5),holiday!B$4:B$20))))</f>
        <v>0</v>
      </c>
      <c r="S39" s="244"/>
      <c r="T39" s="244"/>
      <c r="U39" s="219">
        <v>0</v>
      </c>
      <c r="V39" s="99">
        <v>0.1</v>
      </c>
      <c r="W39" s="81">
        <f t="shared" ref="W39:W41" si="27">R39*V39</f>
        <v>0</v>
      </c>
      <c r="X39" s="82">
        <f t="shared" ref="X39:X41" si="28">U39*V39</f>
        <v>0</v>
      </c>
      <c r="Y39" s="83" t="str">
        <f>IF(N39-$S$5&lt;=0,0,CONCATENATE(NETWORKDAYS($S$5,N39,holiday!$B$4:$B$20)))</f>
        <v>58</v>
      </c>
      <c r="Z39" s="84">
        <f t="shared" ref="Z39:Z41" si="29">IF(SUM(W39:X39)&gt;0,(X39-W39)/V39,0)</f>
        <v>0</v>
      </c>
      <c r="AA39" s="85"/>
      <c r="AB39" s="228"/>
    </row>
    <row r="40" spans="1:28" s="212" customFormat="1" ht="30" customHeight="1" outlineLevel="1" x14ac:dyDescent="0.3">
      <c r="A40" s="96"/>
      <c r="B40" s="40">
        <v>31</v>
      </c>
      <c r="C40" s="76" t="s">
        <v>501</v>
      </c>
      <c r="D40" s="83">
        <v>5</v>
      </c>
      <c r="E40" s="78"/>
      <c r="F40" s="177"/>
      <c r="G40" s="177"/>
      <c r="H40" s="79"/>
      <c r="I40" s="79" t="s">
        <v>492</v>
      </c>
      <c r="J40" s="79"/>
      <c r="K40" s="79"/>
      <c r="L40" s="77" t="str">
        <f>CONCATENATE(NETWORKDAYS(M40,N40,holiday!B$4:B$20),"일")</f>
        <v>29일</v>
      </c>
      <c r="M40" s="106">
        <v>46162</v>
      </c>
      <c r="N40" s="106">
        <v>46203</v>
      </c>
      <c r="O40" s="107" t="s">
        <v>68</v>
      </c>
      <c r="P40" s="107" t="s">
        <v>183</v>
      </c>
      <c r="Q40" s="107" t="s">
        <v>405</v>
      </c>
      <c r="R40" s="80">
        <f>IF(COUNTBLANK(M40:N40)&gt;0,0,1/NETWORKDAYS(M40,N40,holiday!B$4:B$20)*(IF($S$5&lt;=M40,0,NETWORKDAYS(M40,IF($S$5&gt;N40,N40,$S$5),holiday!B$4:B$20))))</f>
        <v>0</v>
      </c>
      <c r="S40" s="244"/>
      <c r="T40" s="244"/>
      <c r="U40" s="219">
        <v>0</v>
      </c>
      <c r="V40" s="99">
        <v>0.1</v>
      </c>
      <c r="W40" s="81">
        <f t="shared" si="27"/>
        <v>0</v>
      </c>
      <c r="X40" s="82">
        <f t="shared" si="28"/>
        <v>0</v>
      </c>
      <c r="Y40" s="83" t="str">
        <f>IF(N40-$S$5&lt;=0,0,CONCATENATE(NETWORKDAYS($S$5,N40,holiday!$B$4:$B$20)))</f>
        <v>58</v>
      </c>
      <c r="Z40" s="84">
        <f t="shared" si="29"/>
        <v>0</v>
      </c>
      <c r="AA40" s="85"/>
      <c r="AB40" s="228"/>
    </row>
    <row r="41" spans="1:28" s="212" customFormat="1" ht="30" customHeight="1" outlineLevel="1" x14ac:dyDescent="0.3">
      <c r="A41" s="96"/>
      <c r="B41" s="40">
        <v>32</v>
      </c>
      <c r="C41" s="76" t="s">
        <v>502</v>
      </c>
      <c r="D41" s="83">
        <v>5</v>
      </c>
      <c r="E41" s="78"/>
      <c r="F41" s="177"/>
      <c r="G41" s="177"/>
      <c r="H41" s="79"/>
      <c r="I41" s="79" t="s">
        <v>493</v>
      </c>
      <c r="J41" s="79"/>
      <c r="K41" s="79"/>
      <c r="L41" s="77" t="str">
        <f>CONCATENATE(NETWORKDAYS(M41,N41,holiday!B$4:B$20),"일")</f>
        <v>29일</v>
      </c>
      <c r="M41" s="106">
        <v>46162</v>
      </c>
      <c r="N41" s="106">
        <v>46203</v>
      </c>
      <c r="O41" s="107" t="s">
        <v>68</v>
      </c>
      <c r="P41" s="107" t="s">
        <v>183</v>
      </c>
      <c r="Q41" s="107" t="s">
        <v>405</v>
      </c>
      <c r="R41" s="80">
        <f>IF(COUNTBLANK(M41:N41)&gt;0,0,1/NETWORKDAYS(M41,N41,holiday!B$4:B$20)*(IF($S$5&lt;=M41,0,NETWORKDAYS(M41,IF($S$5&gt;N41,N41,$S$5),holiday!B$4:B$20))))</f>
        <v>0</v>
      </c>
      <c r="S41" s="244"/>
      <c r="T41" s="244"/>
      <c r="U41" s="219">
        <v>0</v>
      </c>
      <c r="V41" s="99">
        <v>0.15</v>
      </c>
      <c r="W41" s="81">
        <f t="shared" si="27"/>
        <v>0</v>
      </c>
      <c r="X41" s="82">
        <f t="shared" si="28"/>
        <v>0</v>
      </c>
      <c r="Y41" s="83" t="str">
        <f>IF(N41-$S$5&lt;=0,0,CONCATENATE(NETWORKDAYS($S$5,N41,holiday!$B$4:$B$20)))</f>
        <v>58</v>
      </c>
      <c r="Z41" s="84">
        <f t="shared" si="29"/>
        <v>0</v>
      </c>
      <c r="AA41" s="85"/>
      <c r="AB41" s="228"/>
    </row>
    <row r="42" spans="1:28" s="202" customFormat="1" ht="30" customHeight="1" outlineLevel="1" x14ac:dyDescent="0.3">
      <c r="A42" s="93"/>
      <c r="B42" s="40">
        <v>33</v>
      </c>
      <c r="C42" s="64" t="s">
        <v>32</v>
      </c>
      <c r="D42" s="72">
        <v>2</v>
      </c>
      <c r="E42" s="66"/>
      <c r="F42" s="190"/>
      <c r="G42" s="190" t="s">
        <v>474</v>
      </c>
      <c r="H42" s="67"/>
      <c r="I42" s="67"/>
      <c r="J42" s="67"/>
      <c r="K42" s="67"/>
      <c r="L42" s="65" t="str">
        <f>CONCATENATE(NETWORKDAYS(M42,N42,holiday!B$4:B$20),"일")</f>
        <v>30일</v>
      </c>
      <c r="M42" s="112">
        <f>MIN(M43,M46,M52)</f>
        <v>46101</v>
      </c>
      <c r="N42" s="112">
        <f>MAX(N43,N46,N52)</f>
        <v>46142</v>
      </c>
      <c r="O42" s="245" t="s">
        <v>68</v>
      </c>
      <c r="P42" s="113" t="s">
        <v>75</v>
      </c>
      <c r="Q42" s="113" t="s">
        <v>202</v>
      </c>
      <c r="R42" s="69">
        <f>SUM(W43,W46,W52)</f>
        <v>0.1818181818181818</v>
      </c>
      <c r="S42" s="191"/>
      <c r="T42" s="191"/>
      <c r="U42" s="69">
        <f>SUM(X43,X46,X52)</f>
        <v>4.5000000000000005E-2</v>
      </c>
      <c r="V42" s="100">
        <v>0.25</v>
      </c>
      <c r="W42" s="70">
        <f t="shared" ref="W42:W48" si="30">R42*V42</f>
        <v>4.5454545454545449E-2</v>
      </c>
      <c r="X42" s="71">
        <f t="shared" ref="X42:X48" si="31">U42*V42</f>
        <v>1.1250000000000001E-2</v>
      </c>
      <c r="Y42" s="72" t="str">
        <f>IF(N42-$S$5&lt;=0,0,CONCATENATE(NETWORKDAYS($S$5,N42,holiday!$B$4:$B$20)))</f>
        <v>17</v>
      </c>
      <c r="Z42" s="73">
        <f t="shared" ref="Z42:Z48" si="32">IF(SUM(W42:X42)&gt;0,(X42-W42)/V42,0)</f>
        <v>-0.13681818181818178</v>
      </c>
      <c r="AA42" s="74"/>
      <c r="AB42" s="121"/>
    </row>
    <row r="43" spans="1:28" s="202" customFormat="1" ht="30" customHeight="1" outlineLevel="1" x14ac:dyDescent="0.3">
      <c r="A43" s="96"/>
      <c r="B43" s="40">
        <v>34</v>
      </c>
      <c r="C43" s="275" t="s">
        <v>96</v>
      </c>
      <c r="D43" s="276">
        <v>3</v>
      </c>
      <c r="E43" s="289"/>
      <c r="F43" s="235"/>
      <c r="G43" s="235"/>
      <c r="H43" s="233" t="s">
        <v>207</v>
      </c>
      <c r="I43" s="233"/>
      <c r="J43" s="233"/>
      <c r="K43" s="233"/>
      <c r="L43" s="277" t="str">
        <f>CONCATENATE(NETWORKDAYS(M43,N43,holiday!B$4:B$20),"일")</f>
        <v>8일</v>
      </c>
      <c r="M43" s="305">
        <f>MIN(M44,M45)</f>
        <v>46101</v>
      </c>
      <c r="N43" s="305">
        <f>MAX(N44,N45)</f>
        <v>46112</v>
      </c>
      <c r="O43" s="279" t="s">
        <v>68</v>
      </c>
      <c r="P43" s="279" t="s">
        <v>75</v>
      </c>
      <c r="Q43" s="279" t="s">
        <v>202</v>
      </c>
      <c r="R43" s="280">
        <f>SUM(W44:W45)</f>
        <v>1</v>
      </c>
      <c r="S43" s="281"/>
      <c r="T43" s="281"/>
      <c r="U43" s="282">
        <f>SUM(X44:X45)</f>
        <v>0.45</v>
      </c>
      <c r="V43" s="290">
        <v>0.1</v>
      </c>
      <c r="W43" s="284">
        <f t="shared" si="30"/>
        <v>0.1</v>
      </c>
      <c r="X43" s="285">
        <f t="shared" si="31"/>
        <v>4.5000000000000005E-2</v>
      </c>
      <c r="Y43" s="276">
        <f>IF(N43-$S$5&lt;=0,0,CONCATENATE(NETWORKDAYS($S$5,N43,holiday!$B$4:$B$20)))</f>
        <v>0</v>
      </c>
      <c r="Z43" s="286">
        <f t="shared" si="32"/>
        <v>-0.54999999999999993</v>
      </c>
      <c r="AA43" s="292"/>
      <c r="AB43" s="123"/>
    </row>
    <row r="44" spans="1:28" s="212" customFormat="1" ht="30" customHeight="1" outlineLevel="1" x14ac:dyDescent="0.3">
      <c r="A44" s="96"/>
      <c r="B44" s="40">
        <v>35</v>
      </c>
      <c r="C44" s="76" t="s">
        <v>250</v>
      </c>
      <c r="D44" s="83">
        <v>4</v>
      </c>
      <c r="E44" s="78"/>
      <c r="F44" s="177"/>
      <c r="G44" s="177"/>
      <c r="H44" s="79"/>
      <c r="I44" s="79" t="s">
        <v>218</v>
      </c>
      <c r="J44" s="79"/>
      <c r="K44" s="79"/>
      <c r="L44" s="77" t="str">
        <f>CONCATENATE(NETWORKDAYS(M44,N44,holiday!B$4:B$20),"일")</f>
        <v>8일</v>
      </c>
      <c r="M44" s="306">
        <v>46101</v>
      </c>
      <c r="N44" s="306">
        <v>46112</v>
      </c>
      <c r="O44" s="107" t="s">
        <v>68</v>
      </c>
      <c r="P44" s="107" t="s">
        <v>75</v>
      </c>
      <c r="Q44" s="107" t="s">
        <v>202</v>
      </c>
      <c r="R44" s="80">
        <f>IF(COUNTBLANK(M44:N44)&gt;0,0,1/NETWORKDAYS(M44,N44,holiday!B$4:B$20)*(IF($S$5&lt;=M44,0,NETWORKDAYS(M44,IF($S$5&gt;N44,N44,$S$5),holiday!B$4:B$20))))</f>
        <v>1</v>
      </c>
      <c r="S44" s="244"/>
      <c r="T44" s="244"/>
      <c r="U44" s="219">
        <v>0.45</v>
      </c>
      <c r="V44" s="99">
        <v>0.5</v>
      </c>
      <c r="W44" s="81">
        <f t="shared" si="30"/>
        <v>0.5</v>
      </c>
      <c r="X44" s="82">
        <f t="shared" si="31"/>
        <v>0.22500000000000001</v>
      </c>
      <c r="Y44" s="83">
        <f>IF(N44-$S$5&lt;=0,0,CONCATENATE(NETWORKDAYS($S$5,N44,holiday!$B$4:$B$20)))</f>
        <v>0</v>
      </c>
      <c r="Z44" s="272">
        <f t="shared" si="32"/>
        <v>-0.55000000000000004</v>
      </c>
      <c r="AA44" s="224" t="s">
        <v>495</v>
      </c>
      <c r="AB44" s="228"/>
    </row>
    <row r="45" spans="1:28" s="212" customFormat="1" ht="30" customHeight="1" outlineLevel="1" x14ac:dyDescent="0.3">
      <c r="A45" s="96"/>
      <c r="B45" s="40">
        <v>36</v>
      </c>
      <c r="C45" s="76" t="s">
        <v>251</v>
      </c>
      <c r="D45" s="83">
        <v>4</v>
      </c>
      <c r="E45" s="78"/>
      <c r="F45" s="177"/>
      <c r="G45" s="177"/>
      <c r="H45" s="79"/>
      <c r="I45" s="79" t="s">
        <v>371</v>
      </c>
      <c r="J45" s="79"/>
      <c r="K45" s="79"/>
      <c r="L45" s="77" t="str">
        <f>CONCATENATE(NETWORKDAYS(M45,N45,holiday!B$4:B$20),"일")</f>
        <v>8일</v>
      </c>
      <c r="M45" s="306">
        <v>46101</v>
      </c>
      <c r="N45" s="306">
        <v>46112</v>
      </c>
      <c r="O45" s="107" t="s">
        <v>68</v>
      </c>
      <c r="P45" s="107" t="s">
        <v>75</v>
      </c>
      <c r="Q45" s="107" t="s">
        <v>202</v>
      </c>
      <c r="R45" s="80">
        <f>IF(COUNTBLANK(M45:N45)&gt;0,0,1/NETWORKDAYS(M45,N45,holiday!B$4:B$20)*(IF($S$5&lt;=M45,0,NETWORKDAYS(M45,IF($S$5&gt;N45,N45,$S$5),holiday!B$4:B$20))))</f>
        <v>1</v>
      </c>
      <c r="S45" s="244"/>
      <c r="T45" s="244"/>
      <c r="U45" s="219">
        <v>0.45</v>
      </c>
      <c r="V45" s="99">
        <v>0.5</v>
      </c>
      <c r="W45" s="81">
        <f t="shared" si="30"/>
        <v>0.5</v>
      </c>
      <c r="X45" s="82">
        <f t="shared" si="31"/>
        <v>0.22500000000000001</v>
      </c>
      <c r="Y45" s="83">
        <f>IF(N45-$S$5&lt;=0,0,CONCATENATE(NETWORKDAYS($S$5,N45,holiday!$B$4:$B$20)))</f>
        <v>0</v>
      </c>
      <c r="Z45" s="272">
        <f t="shared" si="32"/>
        <v>-0.55000000000000004</v>
      </c>
      <c r="AA45" s="224" t="s">
        <v>494</v>
      </c>
      <c r="AB45" s="228"/>
    </row>
    <row r="46" spans="1:28" s="202" customFormat="1" ht="30" customHeight="1" outlineLevel="1" x14ac:dyDescent="0.3">
      <c r="A46" s="96"/>
      <c r="B46" s="40">
        <v>37</v>
      </c>
      <c r="C46" s="275" t="s">
        <v>97</v>
      </c>
      <c r="D46" s="276">
        <v>3</v>
      </c>
      <c r="E46" s="289"/>
      <c r="F46" s="235"/>
      <c r="G46" s="235"/>
      <c r="H46" s="233" t="s">
        <v>496</v>
      </c>
      <c r="I46" s="233"/>
      <c r="J46" s="233"/>
      <c r="K46" s="233"/>
      <c r="L46" s="277" t="str">
        <f>CONCATENATE(NETWORKDAYS(M46,N46,holiday!B$4:B$20),"일")</f>
        <v>22일</v>
      </c>
      <c r="M46" s="305">
        <f>MIN(M47,M48,M49,M50,M51)</f>
        <v>46113</v>
      </c>
      <c r="N46" s="305">
        <f>MAX(N47,N48,N49,N50,N51)</f>
        <v>46142</v>
      </c>
      <c r="O46" s="279" t="s">
        <v>68</v>
      </c>
      <c r="P46" s="279" t="s">
        <v>75</v>
      </c>
      <c r="Q46" s="279" t="s">
        <v>202</v>
      </c>
      <c r="R46" s="280">
        <f>SUM(W47:W51)</f>
        <v>0.27272727272727271</v>
      </c>
      <c r="S46" s="281"/>
      <c r="T46" s="281"/>
      <c r="U46" s="282">
        <f>SUM(X47:X51)</f>
        <v>0</v>
      </c>
      <c r="V46" s="290">
        <v>0.15</v>
      </c>
      <c r="W46" s="284">
        <f t="shared" si="30"/>
        <v>4.0909090909090902E-2</v>
      </c>
      <c r="X46" s="285">
        <f t="shared" si="31"/>
        <v>0</v>
      </c>
      <c r="Y46" s="276" t="str">
        <f>IF(N46-$S$5&lt;=0,0,CONCATENATE(NETWORKDAYS($S$5,N46,holiday!$B$4:$B$20)))</f>
        <v>17</v>
      </c>
      <c r="Z46" s="288">
        <f t="shared" si="32"/>
        <v>-0.27272727272727271</v>
      </c>
      <c r="AA46" s="291"/>
      <c r="AB46" s="123"/>
    </row>
    <row r="47" spans="1:28" s="212" customFormat="1" ht="30" customHeight="1" outlineLevel="1" x14ac:dyDescent="0.3">
      <c r="A47" s="96"/>
      <c r="B47" s="40">
        <v>38</v>
      </c>
      <c r="C47" s="76" t="s">
        <v>100</v>
      </c>
      <c r="D47" s="83">
        <v>4</v>
      </c>
      <c r="E47" s="78"/>
      <c r="F47" s="177"/>
      <c r="G47" s="177"/>
      <c r="H47" s="79"/>
      <c r="I47" s="79" t="s">
        <v>208</v>
      </c>
      <c r="J47" s="79"/>
      <c r="K47" s="79"/>
      <c r="L47" s="77" t="str">
        <f>CONCATENATE(NETWORKDAYS(M47,N47,holiday!B$4:B$20),"일")</f>
        <v>22일</v>
      </c>
      <c r="M47" s="306">
        <v>46113</v>
      </c>
      <c r="N47" s="306">
        <v>46142</v>
      </c>
      <c r="O47" s="107" t="s">
        <v>68</v>
      </c>
      <c r="P47" s="107" t="s">
        <v>75</v>
      </c>
      <c r="Q47" s="107" t="s">
        <v>202</v>
      </c>
      <c r="R47" s="80">
        <f>IF(COUNTBLANK(M47:N47)&gt;0,0,1/NETWORKDAYS(M47,N47,holiday!B$4:B$20)*(IF($S$5&lt;=M47,0,NETWORKDAYS(M47,IF($S$5&gt;N47,N47,$S$5),holiday!B$4:B$20))))</f>
        <v>0.27272727272727271</v>
      </c>
      <c r="S47" s="244"/>
      <c r="T47" s="244"/>
      <c r="U47" s="219">
        <v>0</v>
      </c>
      <c r="V47" s="99">
        <v>0.2</v>
      </c>
      <c r="W47" s="81">
        <f t="shared" si="30"/>
        <v>5.4545454545454543E-2</v>
      </c>
      <c r="X47" s="82">
        <f t="shared" si="31"/>
        <v>0</v>
      </c>
      <c r="Y47" s="83" t="str">
        <f>IF(N47-$S$5&lt;=0,0,CONCATENATE(NETWORKDAYS($S$5,N47,holiday!$B$4:$B$20)))</f>
        <v>17</v>
      </c>
      <c r="Z47" s="84">
        <f t="shared" si="32"/>
        <v>-0.27272727272727271</v>
      </c>
      <c r="AA47" s="224"/>
      <c r="AB47" s="228"/>
    </row>
    <row r="48" spans="1:28" s="202" customFormat="1" ht="30" customHeight="1" outlineLevel="1" x14ac:dyDescent="0.3">
      <c r="A48" s="96"/>
      <c r="B48" s="40">
        <v>39</v>
      </c>
      <c r="C48" s="76" t="s">
        <v>92</v>
      </c>
      <c r="D48" s="83">
        <v>4</v>
      </c>
      <c r="E48" s="78"/>
      <c r="F48" s="177"/>
      <c r="G48" s="177"/>
      <c r="H48" s="79"/>
      <c r="I48" s="79" t="s">
        <v>209</v>
      </c>
      <c r="J48" s="79"/>
      <c r="K48" s="79"/>
      <c r="L48" s="77" t="str">
        <f>CONCATENATE(NETWORKDAYS(M48,N48,holiday!B$4:B$20),"일")</f>
        <v>22일</v>
      </c>
      <c r="M48" s="306">
        <v>46113</v>
      </c>
      <c r="N48" s="306">
        <v>46142</v>
      </c>
      <c r="O48" s="107" t="s">
        <v>68</v>
      </c>
      <c r="P48" s="107" t="s">
        <v>75</v>
      </c>
      <c r="Q48" s="107" t="s">
        <v>202</v>
      </c>
      <c r="R48" s="80">
        <f>IF(COUNTBLANK(M48:N48)&gt;0,0,1/NETWORKDAYS(M48,N48,holiday!B$4:B$20)*(IF($S$5&lt;=M48,0,NETWORKDAYS(M48,IF($S$5&gt;N48,N48,$S$5),holiday!B$4:B$20))))</f>
        <v>0.27272727272727271</v>
      </c>
      <c r="S48" s="218"/>
      <c r="T48" s="218"/>
      <c r="U48" s="219">
        <v>0</v>
      </c>
      <c r="V48" s="99">
        <v>0.2</v>
      </c>
      <c r="W48" s="81">
        <f t="shared" si="30"/>
        <v>5.4545454545454543E-2</v>
      </c>
      <c r="X48" s="82">
        <f t="shared" si="31"/>
        <v>0</v>
      </c>
      <c r="Y48" s="83" t="str">
        <f>IF(N48-$S$5&lt;=0,0,CONCATENATE(NETWORKDAYS($S$5,N48,holiday!$B$4:$B$20)))</f>
        <v>17</v>
      </c>
      <c r="Z48" s="84">
        <f t="shared" si="32"/>
        <v>-0.27272727272727271</v>
      </c>
      <c r="AA48" s="85"/>
      <c r="AB48" s="123"/>
    </row>
    <row r="49" spans="1:28" s="212" customFormat="1" ht="30" customHeight="1" outlineLevel="1" x14ac:dyDescent="0.3">
      <c r="A49" s="96"/>
      <c r="B49" s="40">
        <v>40</v>
      </c>
      <c r="C49" s="76" t="s">
        <v>93</v>
      </c>
      <c r="D49" s="83">
        <v>4</v>
      </c>
      <c r="E49" s="78"/>
      <c r="F49" s="177"/>
      <c r="G49" s="177"/>
      <c r="H49" s="79"/>
      <c r="I49" s="79" t="s">
        <v>210</v>
      </c>
      <c r="J49" s="79"/>
      <c r="K49" s="79"/>
      <c r="L49" s="77" t="str">
        <f>CONCATENATE(NETWORKDAYS(M49,N49,holiday!B$4:B$20),"일")</f>
        <v>22일</v>
      </c>
      <c r="M49" s="306">
        <v>46113</v>
      </c>
      <c r="N49" s="306">
        <v>46142</v>
      </c>
      <c r="O49" s="107" t="s">
        <v>68</v>
      </c>
      <c r="P49" s="107" t="s">
        <v>75</v>
      </c>
      <c r="Q49" s="107" t="s">
        <v>202</v>
      </c>
      <c r="R49" s="80">
        <f>IF(COUNTBLANK(M49:N49)&gt;0,0,1/NETWORKDAYS(M49,N49,holiday!B$4:B$20)*(IF($S$5&lt;=M49,0,NETWORKDAYS(M49,IF($S$5&gt;N49,N49,$S$5),holiday!B$4:B$20))))</f>
        <v>0.27272727272727271</v>
      </c>
      <c r="S49" s="244"/>
      <c r="T49" s="244"/>
      <c r="U49" s="219">
        <v>0</v>
      </c>
      <c r="V49" s="239">
        <v>0.2</v>
      </c>
      <c r="W49" s="81">
        <f t="shared" ref="W49:W86" si="33">R49*V49</f>
        <v>5.4545454545454543E-2</v>
      </c>
      <c r="X49" s="82">
        <f t="shared" ref="X49:X86" si="34">U49*V49</f>
        <v>0</v>
      </c>
      <c r="Y49" s="83" t="str">
        <f>IF(N49-$S$5&lt;=0,0,CONCATENATE(NETWORKDAYS($S$5,N49,holiday!$B$4:$B$20)))</f>
        <v>17</v>
      </c>
      <c r="Z49" s="84">
        <f t="shared" ref="Z49:Z86" si="35">IF(SUM(W49:X49)&gt;0,(X49-W49)/V49,0)</f>
        <v>-0.27272727272727271</v>
      </c>
      <c r="AA49" s="234"/>
      <c r="AB49" s="228"/>
    </row>
    <row r="50" spans="1:28" s="212" customFormat="1" ht="30" customHeight="1" outlineLevel="1" x14ac:dyDescent="0.3">
      <c r="A50" s="96"/>
      <c r="B50" s="40">
        <v>41</v>
      </c>
      <c r="C50" s="76" t="s">
        <v>252</v>
      </c>
      <c r="D50" s="83">
        <v>4</v>
      </c>
      <c r="E50" s="78"/>
      <c r="F50" s="177"/>
      <c r="G50" s="177"/>
      <c r="H50" s="79"/>
      <c r="I50" s="79" t="s">
        <v>91</v>
      </c>
      <c r="J50" s="79"/>
      <c r="K50" s="79"/>
      <c r="L50" s="77" t="str">
        <f>CONCATENATE(NETWORKDAYS(M50,N50,holiday!B$4:B$20),"일")</f>
        <v>22일</v>
      </c>
      <c r="M50" s="306">
        <v>46113</v>
      </c>
      <c r="N50" s="306">
        <v>46142</v>
      </c>
      <c r="O50" s="107" t="s">
        <v>68</v>
      </c>
      <c r="P50" s="107" t="s">
        <v>75</v>
      </c>
      <c r="Q50" s="107" t="s">
        <v>202</v>
      </c>
      <c r="R50" s="80">
        <f>IF(COUNTBLANK(M50:N50)&gt;0,0,1/NETWORKDAYS(M50,N50,holiday!B$4:B$20)*(IF($S$5&lt;=M50,0,NETWORKDAYS(M50,IF($S$5&gt;N50,N50,$S$5),holiday!B$4:B$20))))</f>
        <v>0.27272727272727271</v>
      </c>
      <c r="S50" s="244"/>
      <c r="T50" s="244"/>
      <c r="U50" s="219">
        <v>0</v>
      </c>
      <c r="V50" s="239">
        <v>0.2</v>
      </c>
      <c r="W50" s="81">
        <f t="shared" si="33"/>
        <v>5.4545454545454543E-2</v>
      </c>
      <c r="X50" s="82">
        <f t="shared" si="34"/>
        <v>0</v>
      </c>
      <c r="Y50" s="83" t="str">
        <f>IF(N50-$S$5&lt;=0,0,CONCATENATE(NETWORKDAYS($S$5,N50,holiday!$B$4:$B$20)))</f>
        <v>17</v>
      </c>
      <c r="Z50" s="84">
        <f t="shared" si="35"/>
        <v>-0.27272727272727271</v>
      </c>
      <c r="AA50" s="234"/>
      <c r="AB50" s="228"/>
    </row>
    <row r="51" spans="1:28" s="212" customFormat="1" ht="30" customHeight="1" outlineLevel="1" x14ac:dyDescent="0.3">
      <c r="A51" s="96"/>
      <c r="B51" s="40">
        <v>42</v>
      </c>
      <c r="C51" s="76" t="s">
        <v>253</v>
      </c>
      <c r="D51" s="83">
        <v>4</v>
      </c>
      <c r="E51" s="78"/>
      <c r="F51" s="177"/>
      <c r="G51" s="177"/>
      <c r="H51" s="79"/>
      <c r="I51" s="79" t="s">
        <v>211</v>
      </c>
      <c r="J51" s="79"/>
      <c r="K51" s="79"/>
      <c r="L51" s="77" t="str">
        <f>CONCATENATE(NETWORKDAYS(M51,N51,holiday!B$4:B$20),"일")</f>
        <v>22일</v>
      </c>
      <c r="M51" s="306">
        <v>46113</v>
      </c>
      <c r="N51" s="306">
        <v>46142</v>
      </c>
      <c r="O51" s="107" t="s">
        <v>68</v>
      </c>
      <c r="P51" s="107" t="s">
        <v>75</v>
      </c>
      <c r="Q51" s="107" t="s">
        <v>202</v>
      </c>
      <c r="R51" s="80">
        <f>IF(COUNTBLANK(M51:N51)&gt;0,0,1/NETWORKDAYS(M51,N51,holiday!B$4:B$20)*(IF($S$5&lt;=M51,0,NETWORKDAYS(M51,IF($S$5&gt;N51,N51,$S$5),holiday!B$4:B$20))))</f>
        <v>0.27272727272727271</v>
      </c>
      <c r="S51" s="244"/>
      <c r="T51" s="244"/>
      <c r="U51" s="219">
        <v>0</v>
      </c>
      <c r="V51" s="239">
        <v>0.2</v>
      </c>
      <c r="W51" s="81">
        <f t="shared" si="33"/>
        <v>5.4545454545454543E-2</v>
      </c>
      <c r="X51" s="82">
        <f t="shared" si="34"/>
        <v>0</v>
      </c>
      <c r="Y51" s="83" t="str">
        <f>IF(N51-$S$5&lt;=0,0,CONCATENATE(NETWORKDAYS($S$5,N51,holiday!$B$4:$B$20)))</f>
        <v>17</v>
      </c>
      <c r="Z51" s="84">
        <f t="shared" si="35"/>
        <v>-0.27272727272727271</v>
      </c>
      <c r="AA51" s="234"/>
      <c r="AB51" s="228"/>
    </row>
    <row r="52" spans="1:28" s="202" customFormat="1" ht="30" customHeight="1" outlineLevel="1" x14ac:dyDescent="0.3">
      <c r="A52" s="96"/>
      <c r="B52" s="40">
        <v>43</v>
      </c>
      <c r="C52" s="275" t="s">
        <v>97</v>
      </c>
      <c r="D52" s="276">
        <v>3</v>
      </c>
      <c r="E52" s="289"/>
      <c r="F52" s="235"/>
      <c r="G52" s="235"/>
      <c r="H52" s="233" t="s">
        <v>503</v>
      </c>
      <c r="I52" s="233"/>
      <c r="J52" s="233"/>
      <c r="K52" s="233"/>
      <c r="L52" s="277" t="str">
        <f>CONCATENATE(NETWORKDAYS(M52,N52,holiday!B$4:B$20),"일")</f>
        <v>22일</v>
      </c>
      <c r="M52" s="305">
        <f>MIN(M53,M54)</f>
        <v>46113</v>
      </c>
      <c r="N52" s="305">
        <f>MAX(N53,N54)</f>
        <v>46142</v>
      </c>
      <c r="O52" s="279" t="s">
        <v>68</v>
      </c>
      <c r="P52" s="279" t="s">
        <v>75</v>
      </c>
      <c r="Q52" s="279" t="s">
        <v>202</v>
      </c>
      <c r="R52" s="280">
        <f>SUM(W53:W54)</f>
        <v>0.27272727272727271</v>
      </c>
      <c r="S52" s="281"/>
      <c r="T52" s="281"/>
      <c r="U52" s="282">
        <f>SUM(X53:X54)</f>
        <v>0</v>
      </c>
      <c r="V52" s="290">
        <v>0.15</v>
      </c>
      <c r="W52" s="284">
        <f t="shared" ref="W52:W54" si="36">R52*V52</f>
        <v>4.0909090909090902E-2</v>
      </c>
      <c r="X52" s="285">
        <f t="shared" ref="X52:X72" si="37">U52*V52</f>
        <v>0</v>
      </c>
      <c r="Y52" s="276" t="str">
        <f>IF(N52-$S$5&lt;=0,0,CONCATENATE(NETWORKDAYS($S$5,N52,holiday!$B$4:$B$20)))</f>
        <v>17</v>
      </c>
      <c r="Z52" s="288">
        <f t="shared" ref="Z52:Z72" si="38">IF(SUM(W52:X52)&gt;0,(X52-W52)/V52,0)</f>
        <v>-0.27272727272727271</v>
      </c>
      <c r="AA52" s="291"/>
      <c r="AB52" s="123"/>
    </row>
    <row r="53" spans="1:28" s="212" customFormat="1" ht="30" customHeight="1" outlineLevel="1" x14ac:dyDescent="0.3">
      <c r="A53" s="96"/>
      <c r="B53" s="40">
        <v>44</v>
      </c>
      <c r="C53" s="76" t="s">
        <v>93</v>
      </c>
      <c r="D53" s="83">
        <v>4</v>
      </c>
      <c r="E53" s="78"/>
      <c r="F53" s="177"/>
      <c r="G53" s="177"/>
      <c r="H53" s="79"/>
      <c r="I53" s="79" t="s">
        <v>210</v>
      </c>
      <c r="J53" s="79"/>
      <c r="K53" s="79"/>
      <c r="L53" s="77" t="str">
        <f>CONCATENATE(NETWORKDAYS(M53,N53,holiday!B$4:B$20),"일")</f>
        <v>22일</v>
      </c>
      <c r="M53" s="306">
        <v>46113</v>
      </c>
      <c r="N53" s="306">
        <v>46142</v>
      </c>
      <c r="O53" s="107" t="s">
        <v>68</v>
      </c>
      <c r="P53" s="107" t="s">
        <v>75</v>
      </c>
      <c r="Q53" s="107" t="s">
        <v>202</v>
      </c>
      <c r="R53" s="80">
        <f>IF(COUNTBLANK(M53:N53)&gt;0,0,1/NETWORKDAYS(M53,N53,holiday!B$4:B$20)*(IF($S$5&lt;=M53,0,NETWORKDAYS(M53,IF($S$5&gt;N53,N53,$S$5),holiday!B$4:B$20))))</f>
        <v>0.27272727272727271</v>
      </c>
      <c r="S53" s="244"/>
      <c r="T53" s="244"/>
      <c r="U53" s="219">
        <v>0</v>
      </c>
      <c r="V53" s="239">
        <v>0.5</v>
      </c>
      <c r="W53" s="81">
        <f t="shared" si="36"/>
        <v>0.13636363636363635</v>
      </c>
      <c r="X53" s="82">
        <f t="shared" si="37"/>
        <v>0</v>
      </c>
      <c r="Y53" s="83" t="str">
        <f>IF(N53-$S$5&lt;=0,0,CONCATENATE(NETWORKDAYS($S$5,N53,holiday!$B$4:$B$20)))</f>
        <v>17</v>
      </c>
      <c r="Z53" s="84">
        <f t="shared" si="38"/>
        <v>-0.27272727272727271</v>
      </c>
      <c r="AA53" s="234"/>
      <c r="AB53" s="228"/>
    </row>
    <row r="54" spans="1:28" s="212" customFormat="1" ht="30" customHeight="1" outlineLevel="1" x14ac:dyDescent="0.3">
      <c r="A54" s="96"/>
      <c r="B54" s="40">
        <v>45</v>
      </c>
      <c r="C54" s="76" t="s">
        <v>252</v>
      </c>
      <c r="D54" s="83">
        <v>4</v>
      </c>
      <c r="E54" s="78"/>
      <c r="F54" s="177"/>
      <c r="G54" s="177"/>
      <c r="H54" s="79"/>
      <c r="I54" s="79" t="s">
        <v>91</v>
      </c>
      <c r="J54" s="79"/>
      <c r="K54" s="79"/>
      <c r="L54" s="77" t="str">
        <f>CONCATENATE(NETWORKDAYS(M54,N54,holiday!B$4:B$20),"일")</f>
        <v>22일</v>
      </c>
      <c r="M54" s="306">
        <v>46113</v>
      </c>
      <c r="N54" s="306">
        <v>46142</v>
      </c>
      <c r="O54" s="107" t="s">
        <v>68</v>
      </c>
      <c r="P54" s="107" t="s">
        <v>75</v>
      </c>
      <c r="Q54" s="107" t="s">
        <v>202</v>
      </c>
      <c r="R54" s="80">
        <f>IF(COUNTBLANK(M54:N54)&gt;0,0,1/NETWORKDAYS(M54,N54,holiday!B$4:B$20)*(IF($S$5&lt;=M54,0,NETWORKDAYS(M54,IF($S$5&gt;N54,N54,$S$5),holiday!B$4:B$20))))</f>
        <v>0.27272727272727271</v>
      </c>
      <c r="S54" s="244"/>
      <c r="T54" s="244"/>
      <c r="U54" s="219">
        <v>0</v>
      </c>
      <c r="V54" s="239">
        <v>0.5</v>
      </c>
      <c r="W54" s="81">
        <f t="shared" si="36"/>
        <v>0.13636363636363635</v>
      </c>
      <c r="X54" s="82">
        <f t="shared" si="37"/>
        <v>0</v>
      </c>
      <c r="Y54" s="83" t="str">
        <f>IF(N54-$S$5&lt;=0,0,CONCATENATE(NETWORKDAYS($S$5,N54,holiday!$B$4:$B$20)))</f>
        <v>17</v>
      </c>
      <c r="Z54" s="84">
        <f t="shared" si="38"/>
        <v>-0.27272727272727271</v>
      </c>
      <c r="AA54" s="234"/>
      <c r="AB54" s="228"/>
    </row>
    <row r="55" spans="1:28" s="212" customFormat="1" ht="30" customHeight="1" x14ac:dyDescent="0.3">
      <c r="A55" s="93"/>
      <c r="B55" s="40">
        <v>46</v>
      </c>
      <c r="C55" s="64" t="s">
        <v>140</v>
      </c>
      <c r="D55" s="72">
        <v>2</v>
      </c>
      <c r="E55" s="66"/>
      <c r="F55" s="190"/>
      <c r="G55" s="190" t="s">
        <v>3</v>
      </c>
      <c r="H55" s="67"/>
      <c r="I55" s="67"/>
      <c r="J55" s="67"/>
      <c r="K55" s="67"/>
      <c r="L55" s="65" t="str">
        <f>CONCATENATE(NETWORKDAYS(M55,N55,holiday!B$4:B$20),"일")</f>
        <v>21일</v>
      </c>
      <c r="M55" s="112">
        <f>MIN(M56,M59,M67,M70)</f>
        <v>46083</v>
      </c>
      <c r="N55" s="112">
        <f>MAX(N56,N59,N67,N70)</f>
        <v>46112</v>
      </c>
      <c r="O55" s="113" t="s">
        <v>68</v>
      </c>
      <c r="P55" s="113" t="s">
        <v>61</v>
      </c>
      <c r="Q55" s="113" t="s">
        <v>406</v>
      </c>
      <c r="R55" s="69">
        <f>SUM(W56,W59,W67,W70)</f>
        <v>1</v>
      </c>
      <c r="S55" s="112">
        <f>MIN(S56,S59,S67,S70)</f>
        <v>46083</v>
      </c>
      <c r="T55" s="112">
        <f>MAX(T56,T59,T67,T70)</f>
        <v>46112</v>
      </c>
      <c r="U55" s="69">
        <f>SUM(X56,X59,X67,X70)</f>
        <v>0.97000000000000008</v>
      </c>
      <c r="V55" s="236">
        <v>0.25</v>
      </c>
      <c r="W55" s="70">
        <f>R55*V55</f>
        <v>0.25</v>
      </c>
      <c r="X55" s="71">
        <f t="shared" si="37"/>
        <v>0.24250000000000002</v>
      </c>
      <c r="Y55" s="72">
        <f>IF(N55-$S$5&lt;=0,0,CONCATENATE(NETWORKDAYS($S$5,N55,holiday!$B$4:$B$20)))</f>
        <v>0</v>
      </c>
      <c r="Z55" s="73">
        <f t="shared" si="38"/>
        <v>-2.9999999999999916E-2</v>
      </c>
      <c r="AA55" s="246"/>
      <c r="AB55" s="228"/>
    </row>
    <row r="56" spans="1:28" s="202" customFormat="1" ht="30" customHeight="1" x14ac:dyDescent="0.3">
      <c r="A56" s="96"/>
      <c r="B56" s="40">
        <v>47</v>
      </c>
      <c r="C56" s="275" t="s">
        <v>157</v>
      </c>
      <c r="D56" s="276">
        <v>3</v>
      </c>
      <c r="E56" s="235"/>
      <c r="F56" s="235"/>
      <c r="G56" s="235"/>
      <c r="H56" s="233" t="s">
        <v>207</v>
      </c>
      <c r="I56" s="233"/>
      <c r="J56" s="233"/>
      <c r="K56" s="233"/>
      <c r="L56" s="277" t="str">
        <f>CONCATENATE(NETWORKDAYS(M56,N56,holiday!B$4:B$20),"일")</f>
        <v>19일</v>
      </c>
      <c r="M56" s="278">
        <f>MIN(M57:M58)</f>
        <v>46083</v>
      </c>
      <c r="N56" s="278">
        <f>MAX(N57:N58)</f>
        <v>46108</v>
      </c>
      <c r="O56" s="279" t="s">
        <v>68</v>
      </c>
      <c r="P56" s="279" t="s">
        <v>61</v>
      </c>
      <c r="Q56" s="279" t="s">
        <v>406</v>
      </c>
      <c r="R56" s="280">
        <f>SUM(W57:W58)</f>
        <v>1</v>
      </c>
      <c r="S56" s="281">
        <f t="shared" ref="S56:T58" si="39">M56</f>
        <v>46083</v>
      </c>
      <c r="T56" s="281">
        <f t="shared" si="39"/>
        <v>46108</v>
      </c>
      <c r="U56" s="282">
        <f>SUM(X57:X58)</f>
        <v>1</v>
      </c>
      <c r="V56" s="283">
        <v>0.3</v>
      </c>
      <c r="W56" s="284">
        <f t="shared" ref="W56:W72" si="40">R56*V56</f>
        <v>0.3</v>
      </c>
      <c r="X56" s="285">
        <f t="shared" si="37"/>
        <v>0.3</v>
      </c>
      <c r="Y56" s="276">
        <f>IF(N56-$S$5&lt;=0,0,CONCATENATE(NETWORKDAYS($S$5,N56,holiday!$B$4:$B$20)))</f>
        <v>0</v>
      </c>
      <c r="Z56" s="286">
        <f t="shared" si="38"/>
        <v>0</v>
      </c>
      <c r="AA56" s="287"/>
      <c r="AB56" s="123"/>
    </row>
    <row r="57" spans="1:28" s="212" customFormat="1" ht="30" customHeight="1" x14ac:dyDescent="0.3">
      <c r="A57" s="96"/>
      <c r="B57" s="40">
        <v>48</v>
      </c>
      <c r="C57" s="76" t="s">
        <v>254</v>
      </c>
      <c r="D57" s="83">
        <v>4</v>
      </c>
      <c r="E57" s="177"/>
      <c r="F57" s="177"/>
      <c r="G57" s="177"/>
      <c r="H57" s="79"/>
      <c r="I57" s="79" t="s">
        <v>513</v>
      </c>
      <c r="J57" s="79"/>
      <c r="K57" s="79"/>
      <c r="L57" s="77" t="str">
        <f>CONCATENATE(NETWORKDAYS(M57,N57,holiday!B$4:B$20),"일")</f>
        <v>14일</v>
      </c>
      <c r="M57" s="273">
        <v>46083</v>
      </c>
      <c r="N57" s="273">
        <v>46101</v>
      </c>
      <c r="O57" s="107" t="s">
        <v>68</v>
      </c>
      <c r="P57" s="107" t="s">
        <v>61</v>
      </c>
      <c r="Q57" s="107" t="s">
        <v>406</v>
      </c>
      <c r="R57" s="80">
        <f>IF(COUNTBLANK(M57:N57)&gt;0,0,1/NETWORKDAYS(M57,N57,holiday!B$4:B$20)*(IF($S$5&lt;=M57,0,NETWORKDAYS(M57,IF($S$5&gt;N57,N57,$S$5),holiday!B$4:B$20))))</f>
        <v>1</v>
      </c>
      <c r="S57" s="244">
        <f t="shared" si="39"/>
        <v>46083</v>
      </c>
      <c r="T57" s="244">
        <f t="shared" si="39"/>
        <v>46101</v>
      </c>
      <c r="U57" s="219">
        <v>1</v>
      </c>
      <c r="V57" s="239">
        <v>0.5</v>
      </c>
      <c r="W57" s="81">
        <f t="shared" si="40"/>
        <v>0.5</v>
      </c>
      <c r="X57" s="82">
        <f t="shared" si="37"/>
        <v>0.5</v>
      </c>
      <c r="Y57" s="83">
        <f>IF(N57-$S$5&lt;=0,0,CONCATENATE(NETWORKDAYS($S$5,N57,holiday!$B$4:$B$20)))</f>
        <v>0</v>
      </c>
      <c r="Z57" s="272">
        <f t="shared" si="38"/>
        <v>0</v>
      </c>
      <c r="AA57" s="234" t="s">
        <v>569</v>
      </c>
      <c r="AB57" s="228"/>
    </row>
    <row r="58" spans="1:28" s="212" customFormat="1" ht="30" customHeight="1" x14ac:dyDescent="0.3">
      <c r="A58" s="96"/>
      <c r="B58" s="40">
        <v>49</v>
      </c>
      <c r="C58" s="76" t="s">
        <v>255</v>
      </c>
      <c r="D58" s="83">
        <v>4</v>
      </c>
      <c r="E58" s="177"/>
      <c r="F58" s="177"/>
      <c r="G58" s="177"/>
      <c r="H58" s="79"/>
      <c r="I58" s="79" t="s">
        <v>514</v>
      </c>
      <c r="J58" s="79"/>
      <c r="K58" s="79"/>
      <c r="L58" s="77" t="str">
        <f>CONCATENATE(NETWORKDAYS(M58,N58,holiday!B$4:B$20),"일")</f>
        <v>19일</v>
      </c>
      <c r="M58" s="273">
        <v>46083</v>
      </c>
      <c r="N58" s="273">
        <v>46108</v>
      </c>
      <c r="O58" s="107" t="s">
        <v>68</v>
      </c>
      <c r="P58" s="107" t="s">
        <v>61</v>
      </c>
      <c r="Q58" s="107" t="s">
        <v>406</v>
      </c>
      <c r="R58" s="80">
        <f>IF(COUNTBLANK(M58:N58)&gt;0,0,1/NETWORKDAYS(M58,N58,holiday!B$4:B$20)*(IF($S$5&lt;=M58,0,NETWORKDAYS(M58,IF($S$5&gt;N58,N58,$S$5),holiday!B$4:B$20))))</f>
        <v>1</v>
      </c>
      <c r="S58" s="244">
        <f t="shared" si="39"/>
        <v>46083</v>
      </c>
      <c r="T58" s="244">
        <f t="shared" si="39"/>
        <v>46108</v>
      </c>
      <c r="U58" s="219">
        <v>1</v>
      </c>
      <c r="V58" s="239">
        <v>0.5</v>
      </c>
      <c r="W58" s="81">
        <f t="shared" si="40"/>
        <v>0.5</v>
      </c>
      <c r="X58" s="82">
        <f t="shared" si="37"/>
        <v>0.5</v>
      </c>
      <c r="Y58" s="83">
        <f>IF(N58-$S$5&lt;=0,0,CONCATENATE(NETWORKDAYS($S$5,N58,holiday!$B$4:$B$20)))</f>
        <v>0</v>
      </c>
      <c r="Z58" s="272">
        <f t="shared" si="38"/>
        <v>0</v>
      </c>
      <c r="AA58" s="234" t="s">
        <v>570</v>
      </c>
      <c r="AB58" s="228"/>
    </row>
    <row r="59" spans="1:28" s="202" customFormat="1" ht="30" customHeight="1" x14ac:dyDescent="0.3">
      <c r="A59" s="96"/>
      <c r="B59" s="40">
        <v>50</v>
      </c>
      <c r="C59" s="275" t="s">
        <v>529</v>
      </c>
      <c r="D59" s="276">
        <v>3</v>
      </c>
      <c r="E59" s="235"/>
      <c r="F59" s="235"/>
      <c r="G59" s="235"/>
      <c r="H59" s="233" t="s">
        <v>515</v>
      </c>
      <c r="I59" s="233"/>
      <c r="J59" s="233"/>
      <c r="K59" s="233"/>
      <c r="L59" s="277" t="str">
        <f>CONCATENATE(NETWORKDAYS(M59,N59,holiday!B$4:B$20),"일")</f>
        <v>16일</v>
      </c>
      <c r="M59" s="278">
        <f>MIN(M60,M61,M62,M63,M64,M65,M66)</f>
        <v>46090</v>
      </c>
      <c r="N59" s="278">
        <f>MAX(N60,N61,N62,N63,N64,N65,N66)</f>
        <v>46111</v>
      </c>
      <c r="O59" s="279" t="s">
        <v>68</v>
      </c>
      <c r="P59" s="279" t="s">
        <v>61</v>
      </c>
      <c r="Q59" s="279" t="s">
        <v>406</v>
      </c>
      <c r="R59" s="280">
        <f>SUM(W60:W66)</f>
        <v>1</v>
      </c>
      <c r="S59" s="244">
        <f t="shared" ref="S59:S72" si="41">M59</f>
        <v>46090</v>
      </c>
      <c r="T59" s="244">
        <f t="shared" ref="T59:T72" si="42">N59</f>
        <v>46111</v>
      </c>
      <c r="U59" s="282">
        <f>SUM(X60:X66)</f>
        <v>1</v>
      </c>
      <c r="V59" s="283">
        <v>0.3</v>
      </c>
      <c r="W59" s="284">
        <f t="shared" si="40"/>
        <v>0.3</v>
      </c>
      <c r="X59" s="285">
        <f t="shared" si="37"/>
        <v>0.3</v>
      </c>
      <c r="Y59" s="276">
        <f>IF(N59-$S$5&lt;=0,0,CONCATENATE(NETWORKDAYS($S$5,N59,holiday!$B$4:$B$20)))</f>
        <v>0</v>
      </c>
      <c r="Z59" s="286">
        <f t="shared" si="38"/>
        <v>0</v>
      </c>
      <c r="AA59" s="287"/>
      <c r="AB59" s="123"/>
    </row>
    <row r="60" spans="1:28" s="212" customFormat="1" ht="30" customHeight="1" x14ac:dyDescent="0.3">
      <c r="A60" s="96"/>
      <c r="B60" s="40">
        <v>51</v>
      </c>
      <c r="C60" s="76" t="s">
        <v>530</v>
      </c>
      <c r="D60" s="83">
        <v>4</v>
      </c>
      <c r="E60" s="177"/>
      <c r="F60" s="177"/>
      <c r="G60" s="177"/>
      <c r="H60" s="79"/>
      <c r="I60" s="79" t="s">
        <v>561</v>
      </c>
      <c r="J60" s="79"/>
      <c r="K60" s="79"/>
      <c r="L60" s="77" t="str">
        <f>CONCATENATE(NETWORKDAYS(M60,N60,holiday!B$4:B$20),"일")</f>
        <v>15일</v>
      </c>
      <c r="M60" s="273">
        <v>46090</v>
      </c>
      <c r="N60" s="273">
        <v>46108</v>
      </c>
      <c r="O60" s="107" t="s">
        <v>68</v>
      </c>
      <c r="P60" s="107" t="s">
        <v>61</v>
      </c>
      <c r="Q60" s="107" t="s">
        <v>406</v>
      </c>
      <c r="R60" s="80">
        <f>IF(COUNTBLANK(M60:N60)&gt;0,0,1/NETWORKDAYS(M60,N60,holiday!B$4:B$20)*(IF($S$5&lt;=M60,0,NETWORKDAYS(M60,IF($S$5&gt;N60,N60,$S$5),holiday!B$4:B$20))))</f>
        <v>1</v>
      </c>
      <c r="S60" s="244">
        <f t="shared" si="41"/>
        <v>46090</v>
      </c>
      <c r="T60" s="244">
        <f t="shared" si="42"/>
        <v>46108</v>
      </c>
      <c r="U60" s="219">
        <v>1</v>
      </c>
      <c r="V60" s="239">
        <v>0.15</v>
      </c>
      <c r="W60" s="81">
        <f t="shared" si="40"/>
        <v>0.15</v>
      </c>
      <c r="X60" s="82">
        <f t="shared" si="37"/>
        <v>0.15</v>
      </c>
      <c r="Y60" s="83">
        <f>IF(N60-$S$5&lt;=0,0,CONCATENATE(NETWORKDAYS($S$5,N60,holiday!$B$4:$B$20)))</f>
        <v>0</v>
      </c>
      <c r="Z60" s="84">
        <f t="shared" si="38"/>
        <v>0</v>
      </c>
      <c r="AA60" s="234"/>
      <c r="AB60" s="228"/>
    </row>
    <row r="61" spans="1:28" s="212" customFormat="1" ht="30" customHeight="1" x14ac:dyDescent="0.3">
      <c r="A61" s="96"/>
      <c r="B61" s="40">
        <v>52</v>
      </c>
      <c r="C61" s="76" t="s">
        <v>531</v>
      </c>
      <c r="D61" s="83">
        <v>4</v>
      </c>
      <c r="E61" s="177"/>
      <c r="F61" s="177"/>
      <c r="G61" s="177"/>
      <c r="H61" s="79"/>
      <c r="I61" s="79" t="s">
        <v>208</v>
      </c>
      <c r="J61" s="79"/>
      <c r="K61" s="79"/>
      <c r="L61" s="77" t="str">
        <f>CONCATENATE(NETWORKDAYS(M61,N61,holiday!B$4:B$20),"일")</f>
        <v>16일</v>
      </c>
      <c r="M61" s="273">
        <v>46090</v>
      </c>
      <c r="N61" s="273">
        <v>46111</v>
      </c>
      <c r="O61" s="107" t="s">
        <v>68</v>
      </c>
      <c r="P61" s="107" t="s">
        <v>61</v>
      </c>
      <c r="Q61" s="107" t="s">
        <v>519</v>
      </c>
      <c r="R61" s="80">
        <f>IF(COUNTBLANK(M61:N61)&gt;0,0,1/NETWORKDAYS(M61,N61,holiday!B$4:B$20)*(IF($S$5&lt;=M61,0,NETWORKDAYS(M61,IF($S$5&gt;N61,N61,$S$5),holiday!B$4:B$20))))</f>
        <v>1</v>
      </c>
      <c r="S61" s="244">
        <f t="shared" si="41"/>
        <v>46090</v>
      </c>
      <c r="T61" s="244">
        <f t="shared" si="42"/>
        <v>46111</v>
      </c>
      <c r="U61" s="219">
        <v>1</v>
      </c>
      <c r="V61" s="239">
        <v>0.15</v>
      </c>
      <c r="W61" s="81">
        <f t="shared" si="40"/>
        <v>0.15</v>
      </c>
      <c r="X61" s="82">
        <f t="shared" si="37"/>
        <v>0.15</v>
      </c>
      <c r="Y61" s="83">
        <f>IF(N61-$S$5&lt;=0,0,CONCATENATE(NETWORKDAYS($S$5,N61,holiday!$B$4:$B$20)))</f>
        <v>0</v>
      </c>
      <c r="Z61" s="84">
        <f t="shared" si="38"/>
        <v>0</v>
      </c>
      <c r="AA61" s="234"/>
      <c r="AB61" s="228"/>
    </row>
    <row r="62" spans="1:28" s="212" customFormat="1" ht="30" customHeight="1" x14ac:dyDescent="0.3">
      <c r="A62" s="96"/>
      <c r="B62" s="40">
        <v>53</v>
      </c>
      <c r="C62" s="76" t="s">
        <v>532</v>
      </c>
      <c r="D62" s="83">
        <v>4</v>
      </c>
      <c r="E62" s="177"/>
      <c r="F62" s="177"/>
      <c r="G62" s="177"/>
      <c r="H62" s="79"/>
      <c r="I62" s="79" t="s">
        <v>210</v>
      </c>
      <c r="J62" s="79"/>
      <c r="K62" s="79"/>
      <c r="L62" s="77" t="str">
        <f>CONCATENATE(NETWORKDAYS(M62,N62,holiday!B$4:B$20),"일")</f>
        <v>16일</v>
      </c>
      <c r="M62" s="273">
        <v>46090</v>
      </c>
      <c r="N62" s="273">
        <v>46111</v>
      </c>
      <c r="O62" s="107" t="s">
        <v>68</v>
      </c>
      <c r="P62" s="107" t="s">
        <v>61</v>
      </c>
      <c r="Q62" s="107" t="s">
        <v>519</v>
      </c>
      <c r="R62" s="80">
        <f>IF(COUNTBLANK(M62:N62)&gt;0,0,1/NETWORKDAYS(M62,N62,holiday!B$4:B$20)*(IF($S$5&lt;=M62,0,NETWORKDAYS(M62,IF($S$5&gt;N62,N62,$S$5),holiday!B$4:B$20))))</f>
        <v>1</v>
      </c>
      <c r="S62" s="244">
        <f t="shared" si="41"/>
        <v>46090</v>
      </c>
      <c r="T62" s="244">
        <f t="shared" si="42"/>
        <v>46111</v>
      </c>
      <c r="U62" s="219">
        <v>1</v>
      </c>
      <c r="V62" s="239">
        <v>0.15</v>
      </c>
      <c r="W62" s="81">
        <f t="shared" si="40"/>
        <v>0.15</v>
      </c>
      <c r="X62" s="82">
        <f t="shared" si="37"/>
        <v>0.15</v>
      </c>
      <c r="Y62" s="83">
        <f>IF(N62-$S$5&lt;=0,0,CONCATENATE(NETWORKDAYS($S$5,N62,holiday!$B$4:$B$20)))</f>
        <v>0</v>
      </c>
      <c r="Z62" s="84">
        <f t="shared" si="38"/>
        <v>0</v>
      </c>
      <c r="AA62" s="234"/>
      <c r="AB62" s="228"/>
    </row>
    <row r="63" spans="1:28" s="212" customFormat="1" ht="30" customHeight="1" x14ac:dyDescent="0.3">
      <c r="A63" s="96"/>
      <c r="B63" s="40">
        <v>55</v>
      </c>
      <c r="C63" s="76" t="s">
        <v>533</v>
      </c>
      <c r="D63" s="83">
        <v>4</v>
      </c>
      <c r="E63" s="177"/>
      <c r="F63" s="177"/>
      <c r="G63" s="177"/>
      <c r="H63" s="79"/>
      <c r="I63" s="79" t="s">
        <v>91</v>
      </c>
      <c r="J63" s="79"/>
      <c r="K63" s="79"/>
      <c r="L63" s="77" t="str">
        <f>CONCATENATE(NETWORKDAYS(M63,N63,holiday!B$4:B$20),"일")</f>
        <v>6일</v>
      </c>
      <c r="M63" s="273">
        <v>46104</v>
      </c>
      <c r="N63" s="273">
        <v>46111</v>
      </c>
      <c r="O63" s="107" t="s">
        <v>68</v>
      </c>
      <c r="P63" s="107" t="s">
        <v>61</v>
      </c>
      <c r="Q63" s="107" t="s">
        <v>519</v>
      </c>
      <c r="R63" s="80">
        <f>IF(COUNTBLANK(M63:N63)&gt;0,0,1/NETWORKDAYS(M63,N63,holiday!B$4:B$20)*(IF($S$5&lt;=M63,0,NETWORKDAYS(M63,IF($S$5&gt;N63,N63,$S$5),holiday!B$4:B$20))))</f>
        <v>1</v>
      </c>
      <c r="S63" s="244">
        <f t="shared" si="41"/>
        <v>46104</v>
      </c>
      <c r="T63" s="244">
        <f t="shared" si="42"/>
        <v>46111</v>
      </c>
      <c r="U63" s="219">
        <v>1</v>
      </c>
      <c r="V63" s="239">
        <v>0.15</v>
      </c>
      <c r="W63" s="81">
        <f t="shared" si="40"/>
        <v>0.15</v>
      </c>
      <c r="X63" s="82">
        <f t="shared" si="37"/>
        <v>0.15</v>
      </c>
      <c r="Y63" s="83">
        <f>IF(N63-$S$5&lt;=0,0,CONCATENATE(NETWORKDAYS($S$5,N63,holiday!$B$4:$B$20)))</f>
        <v>0</v>
      </c>
      <c r="Z63" s="84">
        <f t="shared" si="38"/>
        <v>0</v>
      </c>
      <c r="AA63" s="234"/>
      <c r="AB63" s="228"/>
    </row>
    <row r="64" spans="1:28" s="212" customFormat="1" ht="30" customHeight="1" x14ac:dyDescent="0.3">
      <c r="A64" s="96"/>
      <c r="B64" s="40">
        <v>56</v>
      </c>
      <c r="C64" s="76" t="s">
        <v>534</v>
      </c>
      <c r="D64" s="83">
        <v>4</v>
      </c>
      <c r="E64" s="177"/>
      <c r="F64" s="177"/>
      <c r="G64" s="177"/>
      <c r="H64" s="79"/>
      <c r="I64" s="79" t="s">
        <v>520</v>
      </c>
      <c r="J64" s="79"/>
      <c r="K64" s="79"/>
      <c r="L64" s="77" t="str">
        <f>CONCATENATE(NETWORKDAYS(M64,N64,holiday!B$4:B$20),"일")</f>
        <v>6일</v>
      </c>
      <c r="M64" s="273">
        <v>46104</v>
      </c>
      <c r="N64" s="273">
        <v>46111</v>
      </c>
      <c r="O64" s="107" t="s">
        <v>68</v>
      </c>
      <c r="P64" s="107" t="s">
        <v>61</v>
      </c>
      <c r="Q64" s="107" t="s">
        <v>519</v>
      </c>
      <c r="R64" s="80">
        <f>IF(COUNTBLANK(M64:N64)&gt;0,0,1/NETWORKDAYS(M64,N64,holiday!B$4:B$20)*(IF($S$5&lt;=M64,0,NETWORKDAYS(M64,IF($S$5&gt;N64,N64,$S$5),holiday!B$4:B$20))))</f>
        <v>1</v>
      </c>
      <c r="S64" s="244">
        <f t="shared" si="41"/>
        <v>46104</v>
      </c>
      <c r="T64" s="244">
        <f t="shared" si="42"/>
        <v>46111</v>
      </c>
      <c r="U64" s="219">
        <v>1</v>
      </c>
      <c r="V64" s="239">
        <v>0.15</v>
      </c>
      <c r="W64" s="81">
        <f t="shared" si="40"/>
        <v>0.15</v>
      </c>
      <c r="X64" s="82">
        <f t="shared" si="37"/>
        <v>0.15</v>
      </c>
      <c r="Y64" s="83">
        <f>IF(N64-$S$5&lt;=0,0,CONCATENATE(NETWORKDAYS($S$5,N64,holiday!$B$4:$B$20)))</f>
        <v>0</v>
      </c>
      <c r="Z64" s="84">
        <f t="shared" si="38"/>
        <v>0</v>
      </c>
      <c r="AA64" s="234"/>
      <c r="AB64" s="228"/>
    </row>
    <row r="65" spans="1:28" s="212" customFormat="1" ht="30" customHeight="1" x14ac:dyDescent="0.3">
      <c r="A65" s="96"/>
      <c r="B65" s="40">
        <v>57</v>
      </c>
      <c r="C65" s="76" t="s">
        <v>535</v>
      </c>
      <c r="D65" s="83">
        <v>4</v>
      </c>
      <c r="E65" s="177"/>
      <c r="F65" s="177"/>
      <c r="G65" s="177"/>
      <c r="H65" s="79"/>
      <c r="I65" s="79" t="s">
        <v>543</v>
      </c>
      <c r="J65" s="79"/>
      <c r="K65" s="79"/>
      <c r="L65" s="77" t="str">
        <f>CONCATENATE(NETWORKDAYS(M65,N65,holiday!B$4:B$20),"일")</f>
        <v>6일</v>
      </c>
      <c r="M65" s="273">
        <v>46104</v>
      </c>
      <c r="N65" s="273">
        <v>46111</v>
      </c>
      <c r="O65" s="107" t="s">
        <v>68</v>
      </c>
      <c r="P65" s="107" t="s">
        <v>61</v>
      </c>
      <c r="Q65" s="107" t="s">
        <v>519</v>
      </c>
      <c r="R65" s="80">
        <f>IF(COUNTBLANK(M65:N65)&gt;0,0,1/NETWORKDAYS(M65,N65,holiday!B$4:B$20)*(IF($S$5&lt;=M65,0,NETWORKDAYS(M65,IF($S$5&gt;N65,N65,$S$5),holiday!B$4:B$20))))</f>
        <v>1</v>
      </c>
      <c r="S65" s="244">
        <f t="shared" si="41"/>
        <v>46104</v>
      </c>
      <c r="T65" s="244">
        <f t="shared" si="42"/>
        <v>46111</v>
      </c>
      <c r="U65" s="219">
        <v>1</v>
      </c>
      <c r="V65" s="239">
        <v>0.15</v>
      </c>
      <c r="W65" s="81">
        <f t="shared" si="40"/>
        <v>0.15</v>
      </c>
      <c r="X65" s="82">
        <f t="shared" si="37"/>
        <v>0.15</v>
      </c>
      <c r="Y65" s="83">
        <f>IF(N65-$S$5&lt;=0,0,CONCATENATE(NETWORKDAYS($S$5,N65,holiday!$B$4:$B$20)))</f>
        <v>0</v>
      </c>
      <c r="Z65" s="272">
        <f t="shared" si="38"/>
        <v>0</v>
      </c>
      <c r="AA65" s="234"/>
      <c r="AB65" s="228"/>
    </row>
    <row r="66" spans="1:28" s="212" customFormat="1" ht="30" customHeight="1" x14ac:dyDescent="0.3">
      <c r="A66" s="96"/>
      <c r="B66" s="40">
        <v>58</v>
      </c>
      <c r="C66" s="76" t="s">
        <v>536</v>
      </c>
      <c r="D66" s="83">
        <v>4</v>
      </c>
      <c r="E66" s="177"/>
      <c r="F66" s="177"/>
      <c r="G66" s="177"/>
      <c r="H66" s="79"/>
      <c r="I66" s="79" t="s">
        <v>528</v>
      </c>
      <c r="J66" s="79"/>
      <c r="K66" s="79"/>
      <c r="L66" s="77" t="str">
        <f>CONCATENATE(NETWORKDAYS(M66,N66,holiday!B$4:B$20),"일")</f>
        <v>6일</v>
      </c>
      <c r="M66" s="273">
        <v>46104</v>
      </c>
      <c r="N66" s="273">
        <v>46111</v>
      </c>
      <c r="O66" s="107" t="s">
        <v>68</v>
      </c>
      <c r="P66" s="107" t="s">
        <v>61</v>
      </c>
      <c r="Q66" s="107" t="s">
        <v>519</v>
      </c>
      <c r="R66" s="80">
        <f>IF(COUNTBLANK(M66:N66)&gt;0,0,1/NETWORKDAYS(M66,N66,holiday!B$4:B$20)*(IF($S$5&lt;=M66,0,NETWORKDAYS(M66,IF($S$5&gt;N66,N66,$S$5),holiday!B$4:B$20))))</f>
        <v>1</v>
      </c>
      <c r="S66" s="244">
        <f t="shared" si="41"/>
        <v>46104</v>
      </c>
      <c r="T66" s="244">
        <f t="shared" si="42"/>
        <v>46111</v>
      </c>
      <c r="U66" s="219">
        <v>1</v>
      </c>
      <c r="V66" s="239">
        <v>0.1</v>
      </c>
      <c r="W66" s="81">
        <f t="shared" si="40"/>
        <v>0.1</v>
      </c>
      <c r="X66" s="82">
        <f t="shared" si="37"/>
        <v>0.1</v>
      </c>
      <c r="Y66" s="83">
        <f>IF(N66-$S$5&lt;=0,0,CONCATENATE(NETWORKDAYS($S$5,N66,holiday!$B$4:$B$20)))</f>
        <v>0</v>
      </c>
      <c r="Z66" s="84">
        <f t="shared" si="38"/>
        <v>0</v>
      </c>
      <c r="AA66" s="234"/>
      <c r="AB66" s="228"/>
    </row>
    <row r="67" spans="1:28" s="202" customFormat="1" ht="30" customHeight="1" x14ac:dyDescent="0.3">
      <c r="A67" s="96"/>
      <c r="B67" s="40">
        <v>59</v>
      </c>
      <c r="C67" s="275" t="s">
        <v>537</v>
      </c>
      <c r="D67" s="276">
        <v>3</v>
      </c>
      <c r="E67" s="235"/>
      <c r="F67" s="235"/>
      <c r="G67" s="235"/>
      <c r="H67" s="233" t="s">
        <v>516</v>
      </c>
      <c r="I67" s="233"/>
      <c r="J67" s="233"/>
      <c r="K67" s="233"/>
      <c r="L67" s="277" t="str">
        <f>CONCATENATE(NETWORKDAYS(M67,N67,holiday!B$4:B$20),"일")</f>
        <v>7일</v>
      </c>
      <c r="M67" s="278">
        <f>MIN(M68:M69)</f>
        <v>46104</v>
      </c>
      <c r="N67" s="278">
        <f>MAX(N68:N69)</f>
        <v>46112</v>
      </c>
      <c r="O67" s="279" t="s">
        <v>68</v>
      </c>
      <c r="P67" s="279" t="s">
        <v>61</v>
      </c>
      <c r="Q67" s="279" t="s">
        <v>406</v>
      </c>
      <c r="R67" s="280">
        <f>IF(COUNTBLANK(M67:N67)&gt;0,0,1/NETWORKDAYS(M67,N67,holiday!B$4:B$20)*(IF($S$5&lt;=M67,0,NETWORKDAYS(M67,IF($S$5&gt;N67,N67,$S$5),holiday!B$4:B$20))))</f>
        <v>1</v>
      </c>
      <c r="S67" s="244">
        <f t="shared" si="41"/>
        <v>46104</v>
      </c>
      <c r="T67" s="244">
        <f t="shared" si="42"/>
        <v>46112</v>
      </c>
      <c r="U67" s="282">
        <f>SUM(X68:X69)</f>
        <v>1</v>
      </c>
      <c r="V67" s="283">
        <v>0.2</v>
      </c>
      <c r="W67" s="284">
        <f t="shared" si="40"/>
        <v>0.2</v>
      </c>
      <c r="X67" s="285">
        <f t="shared" si="37"/>
        <v>0.2</v>
      </c>
      <c r="Y67" s="276">
        <f>IF(N67-$S$5&lt;=0,0,CONCATENATE(NETWORKDAYS($S$5,N67,holiday!$B$4:$B$20)))</f>
        <v>0</v>
      </c>
      <c r="Z67" s="288">
        <f t="shared" si="38"/>
        <v>0</v>
      </c>
      <c r="AA67" s="287"/>
      <c r="AB67" s="123"/>
    </row>
    <row r="68" spans="1:28" s="212" customFormat="1" ht="30" customHeight="1" x14ac:dyDescent="0.3">
      <c r="A68" s="96"/>
      <c r="B68" s="40">
        <v>60</v>
      </c>
      <c r="C68" s="76" t="s">
        <v>540</v>
      </c>
      <c r="D68" s="83">
        <v>4</v>
      </c>
      <c r="E68" s="177"/>
      <c r="F68" s="177"/>
      <c r="G68" s="177"/>
      <c r="H68" s="79"/>
      <c r="I68" s="79" t="s">
        <v>562</v>
      </c>
      <c r="J68" s="79"/>
      <c r="K68" s="79"/>
      <c r="L68" s="77" t="str">
        <f>CONCATENATE(NETWORKDAYS(M68,N68,holiday!B$4:B$20),"일")</f>
        <v>7일</v>
      </c>
      <c r="M68" s="273">
        <v>46104</v>
      </c>
      <c r="N68" s="273">
        <v>46112</v>
      </c>
      <c r="O68" s="107" t="s">
        <v>68</v>
      </c>
      <c r="P68" s="107" t="s">
        <v>61</v>
      </c>
      <c r="Q68" s="107" t="s">
        <v>406</v>
      </c>
      <c r="R68" s="80">
        <f>IF(COUNTBLANK(M68:N68)&gt;0,0,1/NETWORKDAYS(M68,N68,holiday!B$4:B$20)*(IF($S$5&lt;=M68,0,NETWORKDAYS(M68,IF($S$5&gt;N68,N68,$S$5),holiday!B$4:B$20))))</f>
        <v>1</v>
      </c>
      <c r="S68" s="244">
        <f t="shared" si="41"/>
        <v>46104</v>
      </c>
      <c r="T68" s="244">
        <f t="shared" si="42"/>
        <v>46112</v>
      </c>
      <c r="U68" s="219">
        <v>1</v>
      </c>
      <c r="V68" s="239">
        <v>0.5</v>
      </c>
      <c r="W68" s="81">
        <f t="shared" si="40"/>
        <v>0.5</v>
      </c>
      <c r="X68" s="82">
        <f t="shared" si="37"/>
        <v>0.5</v>
      </c>
      <c r="Y68" s="83">
        <f>IF(N68-$S$5&lt;=0,0,CONCATENATE(NETWORKDAYS($S$5,N68,holiday!$B$4:$B$20)))</f>
        <v>0</v>
      </c>
      <c r="Z68" s="84">
        <f t="shared" si="38"/>
        <v>0</v>
      </c>
      <c r="AA68" s="234"/>
      <c r="AB68" s="228"/>
    </row>
    <row r="69" spans="1:28" s="212" customFormat="1" ht="30" customHeight="1" x14ac:dyDescent="0.3">
      <c r="A69" s="96"/>
      <c r="B69" s="40">
        <v>61</v>
      </c>
      <c r="C69" s="76" t="s">
        <v>541</v>
      </c>
      <c r="D69" s="83">
        <v>4</v>
      </c>
      <c r="E69" s="177"/>
      <c r="F69" s="177"/>
      <c r="G69" s="177"/>
      <c r="H69" s="79"/>
      <c r="I69" s="79" t="s">
        <v>517</v>
      </c>
      <c r="J69" s="79"/>
      <c r="K69" s="79"/>
      <c r="L69" s="77" t="str">
        <f>CONCATENATE(NETWORKDAYS(M69,N69,holiday!B$4:B$20),"일")</f>
        <v>6일</v>
      </c>
      <c r="M69" s="273">
        <v>46104</v>
      </c>
      <c r="N69" s="273">
        <v>46111</v>
      </c>
      <c r="O69" s="107" t="s">
        <v>68</v>
      </c>
      <c r="P69" s="107" t="s">
        <v>61</v>
      </c>
      <c r="Q69" s="107" t="s">
        <v>519</v>
      </c>
      <c r="R69" s="80">
        <f>IF(COUNTBLANK(M69:N69)&gt;0,0,1/NETWORKDAYS(M69,N69,holiday!B$4:B$20)*(IF($S$5&lt;=M69,0,NETWORKDAYS(M69,IF($S$5&gt;N69,N69,$S$5),holiday!B$4:B$20))))</f>
        <v>1</v>
      </c>
      <c r="S69" s="244">
        <f t="shared" si="41"/>
        <v>46104</v>
      </c>
      <c r="T69" s="244">
        <f t="shared" si="42"/>
        <v>46111</v>
      </c>
      <c r="U69" s="219">
        <v>1</v>
      </c>
      <c r="V69" s="239">
        <v>0.5</v>
      </c>
      <c r="W69" s="81">
        <f t="shared" si="40"/>
        <v>0.5</v>
      </c>
      <c r="X69" s="82">
        <f t="shared" si="37"/>
        <v>0.5</v>
      </c>
      <c r="Y69" s="83">
        <f>IF(N69-$S$5&lt;=0,0,CONCATENATE(NETWORKDAYS($S$5,N69,holiday!$B$4:$B$20)))</f>
        <v>0</v>
      </c>
      <c r="Z69" s="84">
        <f t="shared" si="38"/>
        <v>0</v>
      </c>
      <c r="AA69" s="234"/>
      <c r="AB69" s="228"/>
    </row>
    <row r="70" spans="1:28" s="202" customFormat="1" ht="30" customHeight="1" x14ac:dyDescent="0.3">
      <c r="A70" s="96"/>
      <c r="B70" s="40">
        <v>63</v>
      </c>
      <c r="C70" s="275" t="s">
        <v>539</v>
      </c>
      <c r="D70" s="276">
        <v>3</v>
      </c>
      <c r="E70" s="235"/>
      <c r="F70" s="235"/>
      <c r="G70" s="235"/>
      <c r="H70" s="233" t="s">
        <v>521</v>
      </c>
      <c r="I70" s="233"/>
      <c r="J70" s="233"/>
      <c r="K70" s="233"/>
      <c r="L70" s="277" t="str">
        <f>CONCATENATE(NETWORKDAYS(M70,N70,holiday!B$4:B$20),"일")</f>
        <v>7일</v>
      </c>
      <c r="M70" s="278">
        <f>MIN(M71:M72)</f>
        <v>46104</v>
      </c>
      <c r="N70" s="278">
        <f>MAX(N71:N72)</f>
        <v>46112</v>
      </c>
      <c r="O70" s="279" t="s">
        <v>68</v>
      </c>
      <c r="P70" s="279" t="s">
        <v>61</v>
      </c>
      <c r="Q70" s="279" t="s">
        <v>406</v>
      </c>
      <c r="R70" s="280">
        <f>SUM(W71:W72)</f>
        <v>1</v>
      </c>
      <c r="S70" s="244">
        <f t="shared" si="41"/>
        <v>46104</v>
      </c>
      <c r="T70" s="244">
        <f t="shared" si="42"/>
        <v>46112</v>
      </c>
      <c r="U70" s="282">
        <f>SUM(X71:X72)</f>
        <v>0.85</v>
      </c>
      <c r="V70" s="283">
        <v>0.2</v>
      </c>
      <c r="W70" s="284">
        <f t="shared" si="40"/>
        <v>0.2</v>
      </c>
      <c r="X70" s="285">
        <f t="shared" si="37"/>
        <v>0.17</v>
      </c>
      <c r="Y70" s="276">
        <f>IF(N70-$S$5&lt;=0,0,CONCATENATE(NETWORKDAYS($S$5,N70,holiday!$B$4:$B$20)))</f>
        <v>0</v>
      </c>
      <c r="Z70" s="286">
        <f t="shared" si="38"/>
        <v>-0.15</v>
      </c>
      <c r="AA70" s="287"/>
      <c r="AB70" s="123"/>
    </row>
    <row r="71" spans="1:28" s="212" customFormat="1" ht="30" customHeight="1" x14ac:dyDescent="0.3">
      <c r="A71" s="96"/>
      <c r="B71" s="40">
        <v>64</v>
      </c>
      <c r="C71" s="76" t="s">
        <v>542</v>
      </c>
      <c r="D71" s="83">
        <v>4</v>
      </c>
      <c r="E71" s="177"/>
      <c r="F71" s="177"/>
      <c r="G71" s="177"/>
      <c r="H71" s="79"/>
      <c r="I71" s="79" t="s">
        <v>562</v>
      </c>
      <c r="J71" s="79"/>
      <c r="K71" s="79"/>
      <c r="L71" s="77" t="str">
        <f>CONCATENATE(NETWORKDAYS(M71,N71,holiday!B$4:B$20),"일")</f>
        <v>7일</v>
      </c>
      <c r="M71" s="273">
        <v>46104</v>
      </c>
      <c r="N71" s="273">
        <v>46112</v>
      </c>
      <c r="O71" s="107" t="s">
        <v>68</v>
      </c>
      <c r="P71" s="107" t="s">
        <v>61</v>
      </c>
      <c r="Q71" s="107" t="s">
        <v>406</v>
      </c>
      <c r="R71" s="80">
        <f>IF(COUNTBLANK(M71:N71)&gt;0,0,1/NETWORKDAYS(M71,N71,holiday!B$4:B$20)*(IF($S$5&lt;=M71,0,NETWORKDAYS(M71,IF($S$5&gt;N71,N71,$S$5),holiday!B$4:B$20))))</f>
        <v>1</v>
      </c>
      <c r="S71" s="244">
        <f t="shared" si="41"/>
        <v>46104</v>
      </c>
      <c r="T71" s="244">
        <f t="shared" si="42"/>
        <v>46112</v>
      </c>
      <c r="U71" s="219">
        <v>1</v>
      </c>
      <c r="V71" s="239">
        <v>0.5</v>
      </c>
      <c r="W71" s="81">
        <f t="shared" si="40"/>
        <v>0.5</v>
      </c>
      <c r="X71" s="82">
        <f t="shared" si="37"/>
        <v>0.5</v>
      </c>
      <c r="Y71" s="83">
        <f>IF(N71-$S$5&lt;=0,0,CONCATENATE(NETWORKDAYS($S$5,N71,holiday!$B$4:$B$20)))</f>
        <v>0</v>
      </c>
      <c r="Z71" s="272">
        <f t="shared" si="38"/>
        <v>0</v>
      </c>
      <c r="AA71" s="234"/>
      <c r="AB71" s="228"/>
    </row>
    <row r="72" spans="1:28" s="212" customFormat="1" ht="30" customHeight="1" x14ac:dyDescent="0.3">
      <c r="A72" s="96"/>
      <c r="B72" s="40">
        <v>65</v>
      </c>
      <c r="C72" s="76" t="s">
        <v>538</v>
      </c>
      <c r="D72" s="83">
        <v>4</v>
      </c>
      <c r="E72" s="177"/>
      <c r="F72" s="177"/>
      <c r="G72" s="177"/>
      <c r="H72" s="79"/>
      <c r="I72" s="79" t="s">
        <v>523</v>
      </c>
      <c r="J72" s="79"/>
      <c r="K72" s="79"/>
      <c r="L72" s="77" t="str">
        <f>CONCATENATE(NETWORKDAYS(M72,N72,holiday!B$4:B$20),"일")</f>
        <v>6일</v>
      </c>
      <c r="M72" s="273">
        <v>46104</v>
      </c>
      <c r="N72" s="273">
        <v>46111</v>
      </c>
      <c r="O72" s="107" t="s">
        <v>68</v>
      </c>
      <c r="P72" s="107" t="s">
        <v>61</v>
      </c>
      <c r="Q72" s="107" t="s">
        <v>519</v>
      </c>
      <c r="R72" s="80">
        <f>IF(COUNTBLANK(M72:N72)&gt;0,0,1/NETWORKDAYS(M72,N72,holiday!B$4:B$20)*(IF($S$5&lt;=M72,0,NETWORKDAYS(M72,IF($S$5&gt;N72,N72,$S$5),holiday!B$4:B$20))))</f>
        <v>1</v>
      </c>
      <c r="S72" s="244">
        <f t="shared" si="41"/>
        <v>46104</v>
      </c>
      <c r="T72" s="244">
        <f t="shared" si="42"/>
        <v>46111</v>
      </c>
      <c r="U72" s="219">
        <v>0.7</v>
      </c>
      <c r="V72" s="239">
        <v>0.5</v>
      </c>
      <c r="W72" s="81">
        <f t="shared" si="40"/>
        <v>0.5</v>
      </c>
      <c r="X72" s="82">
        <f t="shared" si="37"/>
        <v>0.35</v>
      </c>
      <c r="Y72" s="83">
        <f>IF(N72-$S$5&lt;=0,0,CONCATENATE(NETWORKDAYS($S$5,N72,holiday!$B$4:$B$20)))</f>
        <v>0</v>
      </c>
      <c r="Z72" s="84">
        <f t="shared" si="38"/>
        <v>-0.30000000000000004</v>
      </c>
      <c r="AA72" s="234"/>
      <c r="AB72" s="228"/>
    </row>
    <row r="73" spans="1:28" s="202" customFormat="1" ht="30" customHeight="1" outlineLevel="1" x14ac:dyDescent="0.3">
      <c r="A73" s="93"/>
      <c r="B73" s="40">
        <v>71</v>
      </c>
      <c r="C73" s="64" t="s">
        <v>141</v>
      </c>
      <c r="D73" s="72">
        <v>2</v>
      </c>
      <c r="E73" s="66"/>
      <c r="F73" s="190"/>
      <c r="G73" s="190" t="s">
        <v>118</v>
      </c>
      <c r="H73" s="67"/>
      <c r="I73" s="67"/>
      <c r="J73" s="67"/>
      <c r="K73" s="67"/>
      <c r="L73" s="65" t="str">
        <f>CONCATENATE(NETWORKDAYS(M73,N73,holiday!B$4:B$20),"일")</f>
        <v>30일</v>
      </c>
      <c r="M73" s="247">
        <f>MIN(M74,M80,M84,M88,M91,M96)</f>
        <v>46143</v>
      </c>
      <c r="N73" s="112">
        <f>MAX(N74,N80,N84,N88,N91,N96)</f>
        <v>46188</v>
      </c>
      <c r="O73" s="113" t="s">
        <v>68</v>
      </c>
      <c r="P73" s="113" t="s">
        <v>68</v>
      </c>
      <c r="Q73" s="247" t="s">
        <v>243</v>
      </c>
      <c r="R73" s="69">
        <f>SUM(W74,W80,W84,W88,W91,W96)</f>
        <v>0</v>
      </c>
      <c r="S73" s="191"/>
      <c r="T73" s="191"/>
      <c r="U73" s="69">
        <f>SUM(X74,X80,X84,X88,X91,X96)</f>
        <v>0</v>
      </c>
      <c r="V73" s="236">
        <v>0.15</v>
      </c>
      <c r="W73" s="70">
        <f t="shared" si="33"/>
        <v>0</v>
      </c>
      <c r="X73" s="71">
        <f t="shared" si="34"/>
        <v>0</v>
      </c>
      <c r="Y73" s="72" t="str">
        <f>IF(N73-$S$5&lt;=0,0,CONCATENATE(NETWORKDAYS($S$5,N73,holiday!$B$4:$B$20)))</f>
        <v>47</v>
      </c>
      <c r="Z73" s="73">
        <f t="shared" si="35"/>
        <v>0</v>
      </c>
      <c r="AA73" s="246"/>
      <c r="AB73" s="123"/>
    </row>
    <row r="74" spans="1:28" s="212" customFormat="1" ht="30" customHeight="1" outlineLevel="1" x14ac:dyDescent="0.3">
      <c r="A74" s="96"/>
      <c r="B74" s="40">
        <v>72</v>
      </c>
      <c r="C74" s="76" t="s">
        <v>152</v>
      </c>
      <c r="D74" s="83">
        <v>3</v>
      </c>
      <c r="E74" s="78"/>
      <c r="F74" s="177"/>
      <c r="G74" s="177"/>
      <c r="H74" s="233" t="s">
        <v>212</v>
      </c>
      <c r="I74" s="79"/>
      <c r="J74" s="79"/>
      <c r="K74" s="79"/>
      <c r="L74" s="77" t="str">
        <f>CONCATENATE(NETWORKDAYS(M74,N74,holiday!B$4:B$20),"일")</f>
        <v>30일</v>
      </c>
      <c r="M74" s="106">
        <f>MIN(M75,M76,M77,M78,M79)</f>
        <v>46143</v>
      </c>
      <c r="N74" s="106">
        <f>MAX(N75,N76,N77,N78,N79)</f>
        <v>46188</v>
      </c>
      <c r="O74" s="107" t="s">
        <v>68</v>
      </c>
      <c r="P74" s="107" t="s">
        <v>68</v>
      </c>
      <c r="Q74" s="107" t="s">
        <v>243</v>
      </c>
      <c r="R74" s="80">
        <f>SUM(W75:W79)</f>
        <v>0</v>
      </c>
      <c r="S74" s="244"/>
      <c r="T74" s="244"/>
      <c r="U74" s="219">
        <f>SUM(X75:X79)</f>
        <v>0</v>
      </c>
      <c r="V74" s="239">
        <v>0.25</v>
      </c>
      <c r="W74" s="81">
        <f t="shared" si="33"/>
        <v>0</v>
      </c>
      <c r="X74" s="82">
        <f t="shared" si="34"/>
        <v>0</v>
      </c>
      <c r="Y74" s="83" t="str">
        <f>IF(N74-$S$5&lt;=0,0,CONCATENATE(NETWORKDAYS($S$5,N74,holiday!$B$4:$B$20)))</f>
        <v>47</v>
      </c>
      <c r="Z74" s="84">
        <f t="shared" si="35"/>
        <v>0</v>
      </c>
      <c r="AA74" s="234"/>
      <c r="AB74" s="228"/>
    </row>
    <row r="75" spans="1:28" s="212" customFormat="1" ht="30" customHeight="1" outlineLevel="1" x14ac:dyDescent="0.3">
      <c r="A75" s="96"/>
      <c r="B75" s="40">
        <v>73</v>
      </c>
      <c r="C75" s="76" t="s">
        <v>150</v>
      </c>
      <c r="D75" s="83">
        <v>4</v>
      </c>
      <c r="E75" s="78"/>
      <c r="F75" s="177"/>
      <c r="G75" s="177"/>
      <c r="H75" s="79"/>
      <c r="I75" s="79" t="s">
        <v>219</v>
      </c>
      <c r="J75" s="79"/>
      <c r="K75" s="79"/>
      <c r="L75" s="77" t="str">
        <f>CONCATENATE(NETWORKDAYS(M75,N75,holiday!B$4:B$20),"일")</f>
        <v>30일</v>
      </c>
      <c r="M75" s="106">
        <v>46143</v>
      </c>
      <c r="N75" s="106">
        <v>46188</v>
      </c>
      <c r="O75" s="107" t="s">
        <v>68</v>
      </c>
      <c r="P75" s="107" t="s">
        <v>68</v>
      </c>
      <c r="Q75" s="107" t="s">
        <v>243</v>
      </c>
      <c r="R75" s="80">
        <f>IF(COUNTBLANK(M75:N75)&gt;0,0,1/NETWORKDAYS(M75,N75,holiday!B$4:B$20)*(IF($S$5&lt;=M75,0,NETWORKDAYS(M75,IF($S$5&gt;N75,N75,$S$5),holiday!B$4:B$20))))</f>
        <v>0</v>
      </c>
      <c r="S75" s="244"/>
      <c r="T75" s="244"/>
      <c r="U75" s="219">
        <v>0</v>
      </c>
      <c r="V75" s="239">
        <v>0.2</v>
      </c>
      <c r="W75" s="81">
        <f t="shared" si="33"/>
        <v>0</v>
      </c>
      <c r="X75" s="82">
        <f t="shared" si="34"/>
        <v>0</v>
      </c>
      <c r="Y75" s="83" t="str">
        <f>IF(N75-$S$5&lt;=0,0,CONCATENATE(NETWORKDAYS($S$5,N75,holiday!$B$4:$B$20)))</f>
        <v>47</v>
      </c>
      <c r="Z75" s="84">
        <f t="shared" si="35"/>
        <v>0</v>
      </c>
      <c r="AA75" s="234"/>
      <c r="AB75" s="228"/>
    </row>
    <row r="76" spans="1:28" s="212" customFormat="1" ht="30" customHeight="1" outlineLevel="1" x14ac:dyDescent="0.3">
      <c r="A76" s="96"/>
      <c r="B76" s="40">
        <v>74</v>
      </c>
      <c r="C76" s="76" t="s">
        <v>155</v>
      </c>
      <c r="D76" s="83">
        <v>4</v>
      </c>
      <c r="E76" s="78"/>
      <c r="F76" s="177"/>
      <c r="G76" s="177"/>
      <c r="H76" s="79"/>
      <c r="I76" s="79" t="s">
        <v>220</v>
      </c>
      <c r="J76" s="79"/>
      <c r="K76" s="79"/>
      <c r="L76" s="77" t="str">
        <f>CONCATENATE(NETWORKDAYS(M76,N76,holiday!B$4:B$20),"일")</f>
        <v>30일</v>
      </c>
      <c r="M76" s="106">
        <v>46143</v>
      </c>
      <c r="N76" s="106">
        <v>46188</v>
      </c>
      <c r="O76" s="107" t="s">
        <v>68</v>
      </c>
      <c r="P76" s="107" t="s">
        <v>68</v>
      </c>
      <c r="Q76" s="107" t="s">
        <v>243</v>
      </c>
      <c r="R76" s="80">
        <f>IF(COUNTBLANK(M76:N76)&gt;0,0,1/NETWORKDAYS(M76,N76,holiday!B$4:B$20)*(IF($S$5&lt;=M76,0,NETWORKDAYS(M76,IF($S$5&gt;N76,N76,$S$5),holiday!B$4:B$20))))</f>
        <v>0</v>
      </c>
      <c r="S76" s="244"/>
      <c r="T76" s="244"/>
      <c r="U76" s="219">
        <v>0</v>
      </c>
      <c r="V76" s="239">
        <v>0.2</v>
      </c>
      <c r="W76" s="81">
        <f t="shared" si="33"/>
        <v>0</v>
      </c>
      <c r="X76" s="82">
        <f t="shared" si="34"/>
        <v>0</v>
      </c>
      <c r="Y76" s="83" t="str">
        <f>IF(N76-$S$5&lt;=0,0,CONCATENATE(NETWORKDAYS($S$5,N76,holiday!$B$4:$B$20)))</f>
        <v>47</v>
      </c>
      <c r="Z76" s="84">
        <f t="shared" si="35"/>
        <v>0</v>
      </c>
      <c r="AA76" s="234"/>
      <c r="AB76" s="228"/>
    </row>
    <row r="77" spans="1:28" s="212" customFormat="1" ht="30" customHeight="1" outlineLevel="1" x14ac:dyDescent="0.3">
      <c r="A77" s="96"/>
      <c r="B77" s="40">
        <v>75</v>
      </c>
      <c r="C77" s="76" t="s">
        <v>256</v>
      </c>
      <c r="D77" s="83">
        <v>4</v>
      </c>
      <c r="E77" s="78"/>
      <c r="F77" s="177"/>
      <c r="G77" s="177"/>
      <c r="H77" s="79"/>
      <c r="I77" s="79" t="s">
        <v>221</v>
      </c>
      <c r="J77" s="79"/>
      <c r="K77" s="79"/>
      <c r="L77" s="77" t="str">
        <f>CONCATENATE(NETWORKDAYS(M77,N77,holiday!B$4:B$20),"일")</f>
        <v>30일</v>
      </c>
      <c r="M77" s="106">
        <v>46143</v>
      </c>
      <c r="N77" s="106">
        <v>46188</v>
      </c>
      <c r="O77" s="107" t="s">
        <v>68</v>
      </c>
      <c r="P77" s="107" t="s">
        <v>68</v>
      </c>
      <c r="Q77" s="107" t="s">
        <v>243</v>
      </c>
      <c r="R77" s="80">
        <f>IF(COUNTBLANK(M77:N77)&gt;0,0,1/NETWORKDAYS(M77,N77,holiday!B$4:B$20)*(IF($S$5&lt;=M77,0,NETWORKDAYS(M77,IF($S$5&gt;N77,N77,$S$5),holiday!B$4:B$20))))</f>
        <v>0</v>
      </c>
      <c r="S77" s="244"/>
      <c r="T77" s="244"/>
      <c r="U77" s="219">
        <v>0</v>
      </c>
      <c r="V77" s="239">
        <v>0.2</v>
      </c>
      <c r="W77" s="81">
        <f t="shared" si="33"/>
        <v>0</v>
      </c>
      <c r="X77" s="82">
        <f t="shared" si="34"/>
        <v>0</v>
      </c>
      <c r="Y77" s="83" t="str">
        <f>IF(N77-$S$5&lt;=0,0,CONCATENATE(NETWORKDAYS($S$5,N77,holiday!$B$4:$B$20)))</f>
        <v>47</v>
      </c>
      <c r="Z77" s="84">
        <f t="shared" si="35"/>
        <v>0</v>
      </c>
      <c r="AA77" s="234"/>
      <c r="AB77" s="228"/>
    </row>
    <row r="78" spans="1:28" s="212" customFormat="1" ht="30" customHeight="1" outlineLevel="1" x14ac:dyDescent="0.3">
      <c r="A78" s="96"/>
      <c r="B78" s="40">
        <v>76</v>
      </c>
      <c r="C78" s="76" t="s">
        <v>257</v>
      </c>
      <c r="D78" s="83">
        <v>4</v>
      </c>
      <c r="E78" s="78"/>
      <c r="F78" s="177"/>
      <c r="G78" s="177"/>
      <c r="H78" s="79"/>
      <c r="I78" s="79" t="s">
        <v>222</v>
      </c>
      <c r="J78" s="79"/>
      <c r="K78" s="79"/>
      <c r="L78" s="77" t="str">
        <f>CONCATENATE(NETWORKDAYS(M78,N78,holiday!B$4:B$20),"일")</f>
        <v>30일</v>
      </c>
      <c r="M78" s="106">
        <v>46143</v>
      </c>
      <c r="N78" s="106">
        <v>46188</v>
      </c>
      <c r="O78" s="107" t="s">
        <v>68</v>
      </c>
      <c r="P78" s="107" t="s">
        <v>68</v>
      </c>
      <c r="Q78" s="107" t="s">
        <v>243</v>
      </c>
      <c r="R78" s="80">
        <f>IF(COUNTBLANK(M78:N78)&gt;0,0,1/NETWORKDAYS(M78,N78,holiday!B$4:B$20)*(IF($S$5&lt;=M78,0,NETWORKDAYS(M78,IF($S$5&gt;N78,N78,$S$5),holiday!B$4:B$20))))</f>
        <v>0</v>
      </c>
      <c r="S78" s="244"/>
      <c r="T78" s="244"/>
      <c r="U78" s="219">
        <v>0</v>
      </c>
      <c r="V78" s="239">
        <v>0.2</v>
      </c>
      <c r="W78" s="81">
        <f t="shared" si="33"/>
        <v>0</v>
      </c>
      <c r="X78" s="82">
        <f t="shared" si="34"/>
        <v>0</v>
      </c>
      <c r="Y78" s="83" t="str">
        <f>IF(N78-$S$5&lt;=0,0,CONCATENATE(NETWORKDAYS($S$5,N78,holiday!$B$4:$B$20)))</f>
        <v>47</v>
      </c>
      <c r="Z78" s="84">
        <f t="shared" si="35"/>
        <v>0</v>
      </c>
      <c r="AA78" s="234"/>
      <c r="AB78" s="228"/>
    </row>
    <row r="79" spans="1:28" s="212" customFormat="1" ht="30" customHeight="1" outlineLevel="1" x14ac:dyDescent="0.3">
      <c r="A79" s="96"/>
      <c r="B79" s="40">
        <v>77</v>
      </c>
      <c r="C79" s="76" t="s">
        <v>258</v>
      </c>
      <c r="D79" s="83">
        <v>4</v>
      </c>
      <c r="E79" s="78"/>
      <c r="F79" s="177"/>
      <c r="G79" s="177"/>
      <c r="H79" s="79"/>
      <c r="I79" s="79" t="s">
        <v>223</v>
      </c>
      <c r="J79" s="79"/>
      <c r="K79" s="79"/>
      <c r="L79" s="77" t="str">
        <f>CONCATENATE(NETWORKDAYS(M79,N79,holiday!B$4:B$20),"일")</f>
        <v>30일</v>
      </c>
      <c r="M79" s="106">
        <v>46143</v>
      </c>
      <c r="N79" s="106">
        <v>46188</v>
      </c>
      <c r="O79" s="107" t="s">
        <v>68</v>
      </c>
      <c r="P79" s="107" t="s">
        <v>68</v>
      </c>
      <c r="Q79" s="107" t="s">
        <v>243</v>
      </c>
      <c r="R79" s="80">
        <f>IF(COUNTBLANK(M79:N79)&gt;0,0,1/NETWORKDAYS(M79,N79,holiday!B$4:B$20)*(IF($S$5&lt;=M79,0,NETWORKDAYS(M79,IF($S$5&gt;N79,N79,$S$5),holiday!B$4:B$20))))</f>
        <v>0</v>
      </c>
      <c r="S79" s="244"/>
      <c r="T79" s="244"/>
      <c r="U79" s="219">
        <v>0</v>
      </c>
      <c r="V79" s="239">
        <v>0.2</v>
      </c>
      <c r="W79" s="81">
        <f t="shared" si="33"/>
        <v>0</v>
      </c>
      <c r="X79" s="82">
        <f t="shared" si="34"/>
        <v>0</v>
      </c>
      <c r="Y79" s="83" t="str">
        <f>IF(N79-$S$5&lt;=0,0,CONCATENATE(NETWORKDAYS($S$5,N79,holiday!$B$4:$B$20)))</f>
        <v>47</v>
      </c>
      <c r="Z79" s="84">
        <f t="shared" si="35"/>
        <v>0</v>
      </c>
      <c r="AA79" s="234"/>
      <c r="AB79" s="228"/>
    </row>
    <row r="80" spans="1:28" s="212" customFormat="1" ht="30" customHeight="1" outlineLevel="1" x14ac:dyDescent="0.3">
      <c r="A80" s="96"/>
      <c r="B80" s="40">
        <v>78</v>
      </c>
      <c r="C80" s="76" t="s">
        <v>158</v>
      </c>
      <c r="D80" s="83">
        <v>3</v>
      </c>
      <c r="E80" s="78"/>
      <c r="F80" s="177"/>
      <c r="G80" s="177"/>
      <c r="H80" s="233" t="s">
        <v>213</v>
      </c>
      <c r="I80" s="79"/>
      <c r="J80" s="79"/>
      <c r="K80" s="79"/>
      <c r="L80" s="77" t="str">
        <f>CONCATENATE(NETWORKDAYS(M80,N80,holiday!B$4:B$20),"일")</f>
        <v>30일</v>
      </c>
      <c r="M80" s="106">
        <f>MIN(M81,M82,M83)</f>
        <v>46143</v>
      </c>
      <c r="N80" s="106">
        <f>MAX(N81,N82,N83)</f>
        <v>46188</v>
      </c>
      <c r="O80" s="107" t="s">
        <v>68</v>
      </c>
      <c r="P80" s="107" t="s">
        <v>68</v>
      </c>
      <c r="Q80" s="107" t="s">
        <v>243</v>
      </c>
      <c r="R80" s="80">
        <f>SUM(W81:W83)</f>
        <v>0</v>
      </c>
      <c r="S80" s="244"/>
      <c r="T80" s="244"/>
      <c r="U80" s="219">
        <f>SUM(X81:X83)</f>
        <v>0</v>
      </c>
      <c r="V80" s="239">
        <v>0.15</v>
      </c>
      <c r="W80" s="81">
        <f t="shared" si="33"/>
        <v>0</v>
      </c>
      <c r="X80" s="82">
        <f t="shared" si="34"/>
        <v>0</v>
      </c>
      <c r="Y80" s="83" t="str">
        <f>IF(N80-$S$5&lt;=0,0,CONCATENATE(NETWORKDAYS($S$5,N80,holiday!$B$4:$B$20)))</f>
        <v>47</v>
      </c>
      <c r="Z80" s="84">
        <f t="shared" si="35"/>
        <v>0</v>
      </c>
      <c r="AA80" s="234"/>
      <c r="AB80" s="228"/>
    </row>
    <row r="81" spans="1:28" s="212" customFormat="1" ht="30" customHeight="1" outlineLevel="1" x14ac:dyDescent="0.3">
      <c r="A81" s="96"/>
      <c r="B81" s="40">
        <v>79</v>
      </c>
      <c r="C81" s="76" t="s">
        <v>159</v>
      </c>
      <c r="D81" s="83">
        <v>4</v>
      </c>
      <c r="E81" s="78"/>
      <c r="F81" s="177"/>
      <c r="G81" s="177"/>
      <c r="H81" s="79"/>
      <c r="I81" s="79" t="s">
        <v>224</v>
      </c>
      <c r="J81" s="79"/>
      <c r="K81" s="79"/>
      <c r="L81" s="77" t="str">
        <f>CONCATENATE(NETWORKDAYS(M81,N81,holiday!B$4:B$20),"일")</f>
        <v>30일</v>
      </c>
      <c r="M81" s="106">
        <v>46143</v>
      </c>
      <c r="N81" s="106">
        <v>46188</v>
      </c>
      <c r="O81" s="107" t="s">
        <v>68</v>
      </c>
      <c r="P81" s="107" t="s">
        <v>68</v>
      </c>
      <c r="Q81" s="107" t="s">
        <v>243</v>
      </c>
      <c r="R81" s="80">
        <f>IF(COUNTBLANK(M81:N81)&gt;0,0,1/NETWORKDAYS(M81,N81,holiday!B$4:B$20)*(IF($S$5&lt;=M81,0,NETWORKDAYS(M81,IF($S$5&gt;N81,N81,$S$5),holiday!B$4:B$20))))</f>
        <v>0</v>
      </c>
      <c r="S81" s="244"/>
      <c r="T81" s="244"/>
      <c r="U81" s="219">
        <v>0</v>
      </c>
      <c r="V81" s="239">
        <v>0.35</v>
      </c>
      <c r="W81" s="81">
        <f t="shared" si="33"/>
        <v>0</v>
      </c>
      <c r="X81" s="82">
        <f t="shared" si="34"/>
        <v>0</v>
      </c>
      <c r="Y81" s="83" t="str">
        <f>IF(N81-$S$5&lt;=0,0,CONCATENATE(NETWORKDAYS($S$5,N81,holiday!$B$4:$B$20)))</f>
        <v>47</v>
      </c>
      <c r="Z81" s="84">
        <f t="shared" si="35"/>
        <v>0</v>
      </c>
      <c r="AA81" s="234"/>
      <c r="AB81" s="228"/>
    </row>
    <row r="82" spans="1:28" s="212" customFormat="1" ht="30" customHeight="1" outlineLevel="1" x14ac:dyDescent="0.3">
      <c r="A82" s="96"/>
      <c r="B82" s="40">
        <v>80</v>
      </c>
      <c r="C82" s="76" t="s">
        <v>160</v>
      </c>
      <c r="D82" s="83">
        <v>4</v>
      </c>
      <c r="E82" s="78"/>
      <c r="F82" s="177"/>
      <c r="G82" s="177"/>
      <c r="H82" s="79"/>
      <c r="I82" s="79" t="s">
        <v>225</v>
      </c>
      <c r="J82" s="79"/>
      <c r="K82" s="79"/>
      <c r="L82" s="77" t="str">
        <f>CONCATENATE(NETWORKDAYS(M82,N82,holiday!B$4:B$20),"일")</f>
        <v>30일</v>
      </c>
      <c r="M82" s="106">
        <v>46143</v>
      </c>
      <c r="N82" s="106">
        <v>46188</v>
      </c>
      <c r="O82" s="107" t="s">
        <v>68</v>
      </c>
      <c r="P82" s="107" t="s">
        <v>68</v>
      </c>
      <c r="Q82" s="107" t="s">
        <v>243</v>
      </c>
      <c r="R82" s="80">
        <f>IF(COUNTBLANK(M82:N82)&gt;0,0,1/NETWORKDAYS(M82,N82,holiday!B$4:B$20)*(IF($S$5&lt;=M82,0,NETWORKDAYS(M82,IF($S$5&gt;N82,N82,$S$5),holiday!B$4:B$20))))</f>
        <v>0</v>
      </c>
      <c r="S82" s="244"/>
      <c r="T82" s="244"/>
      <c r="U82" s="219">
        <v>0</v>
      </c>
      <c r="V82" s="239">
        <v>0.35</v>
      </c>
      <c r="W82" s="81">
        <f t="shared" si="33"/>
        <v>0</v>
      </c>
      <c r="X82" s="82">
        <f t="shared" si="34"/>
        <v>0</v>
      </c>
      <c r="Y82" s="83" t="str">
        <f>IF(N82-$S$5&lt;=0,0,CONCATENATE(NETWORKDAYS($S$5,N82,holiday!$B$4:$B$20)))</f>
        <v>47</v>
      </c>
      <c r="Z82" s="84">
        <f t="shared" si="35"/>
        <v>0</v>
      </c>
      <c r="AA82" s="234"/>
      <c r="AB82" s="228"/>
    </row>
    <row r="83" spans="1:28" s="212" customFormat="1" ht="30" customHeight="1" outlineLevel="1" x14ac:dyDescent="0.3">
      <c r="A83" s="96"/>
      <c r="B83" s="40">
        <v>81</v>
      </c>
      <c r="C83" s="76" t="s">
        <v>161</v>
      </c>
      <c r="D83" s="83">
        <v>4</v>
      </c>
      <c r="E83" s="78"/>
      <c r="F83" s="177"/>
      <c r="G83" s="177"/>
      <c r="H83" s="79"/>
      <c r="I83" s="79" t="s">
        <v>226</v>
      </c>
      <c r="J83" s="79"/>
      <c r="K83" s="79"/>
      <c r="L83" s="77" t="str">
        <f>CONCATENATE(NETWORKDAYS(M83,N83,holiday!B$4:B$20),"일")</f>
        <v>30일</v>
      </c>
      <c r="M83" s="106">
        <v>46143</v>
      </c>
      <c r="N83" s="106">
        <v>46188</v>
      </c>
      <c r="O83" s="107" t="s">
        <v>68</v>
      </c>
      <c r="P83" s="107" t="s">
        <v>68</v>
      </c>
      <c r="Q83" s="107" t="s">
        <v>243</v>
      </c>
      <c r="R83" s="80">
        <f>IF(COUNTBLANK(M83:N83)&gt;0,0,1/NETWORKDAYS(M83,N83,holiday!B$4:B$20)*(IF($S$5&lt;=M83,0,NETWORKDAYS(M83,IF($S$5&gt;N83,N83,$S$5),holiday!B$4:B$20))))</f>
        <v>0</v>
      </c>
      <c r="S83" s="244"/>
      <c r="T83" s="244"/>
      <c r="U83" s="219">
        <v>0</v>
      </c>
      <c r="V83" s="239">
        <v>0.3</v>
      </c>
      <c r="W83" s="81">
        <f t="shared" si="33"/>
        <v>0</v>
      </c>
      <c r="X83" s="82">
        <f t="shared" si="34"/>
        <v>0</v>
      </c>
      <c r="Y83" s="83" t="str">
        <f>IF(N83-$S$5&lt;=0,0,CONCATENATE(NETWORKDAYS($S$5,N83,holiday!$B$4:$B$20)))</f>
        <v>47</v>
      </c>
      <c r="Z83" s="84">
        <f t="shared" si="35"/>
        <v>0</v>
      </c>
      <c r="AA83" s="234"/>
      <c r="AB83" s="228"/>
    </row>
    <row r="84" spans="1:28" s="212" customFormat="1" ht="30" customHeight="1" outlineLevel="1" x14ac:dyDescent="0.3">
      <c r="A84" s="96"/>
      <c r="B84" s="40">
        <v>82</v>
      </c>
      <c r="C84" s="76" t="s">
        <v>162</v>
      </c>
      <c r="D84" s="83">
        <v>3</v>
      </c>
      <c r="E84" s="78"/>
      <c r="F84" s="177"/>
      <c r="G84" s="177"/>
      <c r="H84" s="233" t="s">
        <v>214</v>
      </c>
      <c r="I84" s="79"/>
      <c r="J84" s="79"/>
      <c r="K84" s="79"/>
      <c r="L84" s="77" t="str">
        <f>CONCATENATE(NETWORKDAYS(M84,N84,holiday!B$4:B$20),"일")</f>
        <v>30일</v>
      </c>
      <c r="M84" s="106">
        <f>MIN(M85,M86,M87)</f>
        <v>46143</v>
      </c>
      <c r="N84" s="106">
        <f>MAX(N85,N86,N87)</f>
        <v>46188</v>
      </c>
      <c r="O84" s="107" t="s">
        <v>68</v>
      </c>
      <c r="P84" s="107" t="s">
        <v>68</v>
      </c>
      <c r="Q84" s="107" t="s">
        <v>243</v>
      </c>
      <c r="R84" s="80">
        <f>SUM(W85:W87)</f>
        <v>0</v>
      </c>
      <c r="S84" s="244"/>
      <c r="T84" s="244"/>
      <c r="U84" s="219">
        <f>SUM(X85:X87)</f>
        <v>0</v>
      </c>
      <c r="V84" s="239">
        <v>0.15</v>
      </c>
      <c r="W84" s="81">
        <f t="shared" si="33"/>
        <v>0</v>
      </c>
      <c r="X84" s="82">
        <f t="shared" si="34"/>
        <v>0</v>
      </c>
      <c r="Y84" s="83" t="str">
        <f>IF(N84-$S$5&lt;=0,0,CONCATENATE(NETWORKDAYS($S$5,N84,holiday!$B$4:$B$20)))</f>
        <v>47</v>
      </c>
      <c r="Z84" s="84">
        <f t="shared" si="35"/>
        <v>0</v>
      </c>
      <c r="AA84" s="234"/>
      <c r="AB84" s="228"/>
    </row>
    <row r="85" spans="1:28" s="212" customFormat="1" ht="30" customHeight="1" outlineLevel="1" x14ac:dyDescent="0.3">
      <c r="A85" s="96"/>
      <c r="B85" s="40">
        <v>83</v>
      </c>
      <c r="C85" s="76" t="s">
        <v>149</v>
      </c>
      <c r="D85" s="83">
        <v>4</v>
      </c>
      <c r="E85" s="78"/>
      <c r="F85" s="177"/>
      <c r="G85" s="177"/>
      <c r="H85" s="79"/>
      <c r="I85" s="79" t="s">
        <v>227</v>
      </c>
      <c r="J85" s="79"/>
      <c r="K85" s="79"/>
      <c r="L85" s="77" t="str">
        <f>CONCATENATE(NETWORKDAYS(M85,N85,holiday!B$4:B$20),"일")</f>
        <v>30일</v>
      </c>
      <c r="M85" s="106">
        <v>46143</v>
      </c>
      <c r="N85" s="106">
        <v>46188</v>
      </c>
      <c r="O85" s="107" t="s">
        <v>68</v>
      </c>
      <c r="P85" s="107" t="s">
        <v>68</v>
      </c>
      <c r="Q85" s="107" t="s">
        <v>243</v>
      </c>
      <c r="R85" s="80">
        <f>IF(COUNTBLANK(M85:N85)&gt;0,0,1/NETWORKDAYS(M85,N85,holiday!B$4:B$20)*(IF($S$5&lt;=M85,0,NETWORKDAYS(M85,IF($S$5&gt;N85,N85,$S$5),holiday!B$4:B$20))))</f>
        <v>0</v>
      </c>
      <c r="S85" s="244"/>
      <c r="T85" s="244"/>
      <c r="U85" s="219">
        <v>0</v>
      </c>
      <c r="V85" s="239">
        <v>0.3</v>
      </c>
      <c r="W85" s="81">
        <f t="shared" si="33"/>
        <v>0</v>
      </c>
      <c r="X85" s="82">
        <f t="shared" si="34"/>
        <v>0</v>
      </c>
      <c r="Y85" s="83" t="str">
        <f>IF(N85-$S$5&lt;=0,0,CONCATENATE(NETWORKDAYS($S$5,N85,holiday!$B$4:$B$20)))</f>
        <v>47</v>
      </c>
      <c r="Z85" s="84">
        <f t="shared" si="35"/>
        <v>0</v>
      </c>
      <c r="AA85" s="234"/>
      <c r="AB85" s="228"/>
    </row>
    <row r="86" spans="1:28" s="212" customFormat="1" ht="30" customHeight="1" outlineLevel="1" x14ac:dyDescent="0.3">
      <c r="A86" s="96"/>
      <c r="B86" s="40">
        <v>84</v>
      </c>
      <c r="C86" s="76" t="s">
        <v>151</v>
      </c>
      <c r="D86" s="83">
        <v>4</v>
      </c>
      <c r="E86" s="78"/>
      <c r="F86" s="177"/>
      <c r="G86" s="177"/>
      <c r="H86" s="79"/>
      <c r="I86" s="79" t="s">
        <v>228</v>
      </c>
      <c r="J86" s="79"/>
      <c r="K86" s="79"/>
      <c r="L86" s="77" t="str">
        <f>CONCATENATE(NETWORKDAYS(M86,N86,holiday!B$4:B$20),"일")</f>
        <v>30일</v>
      </c>
      <c r="M86" s="106">
        <v>46143</v>
      </c>
      <c r="N86" s="106">
        <v>46188</v>
      </c>
      <c r="O86" s="107" t="s">
        <v>68</v>
      </c>
      <c r="P86" s="107" t="s">
        <v>68</v>
      </c>
      <c r="Q86" s="107" t="s">
        <v>243</v>
      </c>
      <c r="R86" s="80">
        <f>IF(COUNTBLANK(M86:N86)&gt;0,0,1/NETWORKDAYS(M86,N86,holiday!B$4:B$20)*(IF($S$5&lt;=M86,0,NETWORKDAYS(M86,IF($S$5&gt;N86,N86,$S$5),holiday!B$4:B$20))))</f>
        <v>0</v>
      </c>
      <c r="S86" s="244"/>
      <c r="T86" s="244"/>
      <c r="U86" s="219">
        <v>0</v>
      </c>
      <c r="V86" s="239">
        <v>0.4</v>
      </c>
      <c r="W86" s="81">
        <f t="shared" si="33"/>
        <v>0</v>
      </c>
      <c r="X86" s="82">
        <f t="shared" si="34"/>
        <v>0</v>
      </c>
      <c r="Y86" s="83" t="str">
        <f>IF(N86-$S$5&lt;=0,0,CONCATENATE(NETWORKDAYS($S$5,N86,holiday!$B$4:$B$20)))</f>
        <v>47</v>
      </c>
      <c r="Z86" s="84">
        <f t="shared" si="35"/>
        <v>0</v>
      </c>
      <c r="AA86" s="234"/>
      <c r="AB86" s="228"/>
    </row>
    <row r="87" spans="1:28" s="212" customFormat="1" ht="30" customHeight="1" outlineLevel="1" x14ac:dyDescent="0.3">
      <c r="A87" s="96"/>
      <c r="B87" s="40">
        <v>85</v>
      </c>
      <c r="C87" s="76" t="s">
        <v>154</v>
      </c>
      <c r="D87" s="83">
        <v>4</v>
      </c>
      <c r="E87" s="78"/>
      <c r="F87" s="177"/>
      <c r="G87" s="177"/>
      <c r="H87" s="79"/>
      <c r="I87" s="79" t="s">
        <v>229</v>
      </c>
      <c r="J87" s="79"/>
      <c r="K87" s="79"/>
      <c r="L87" s="77" t="str">
        <f>CONCATENATE(NETWORKDAYS(M87,N87,holiday!B$4:B$20),"일")</f>
        <v>30일</v>
      </c>
      <c r="M87" s="106">
        <v>46143</v>
      </c>
      <c r="N87" s="106">
        <v>46188</v>
      </c>
      <c r="O87" s="107" t="s">
        <v>68</v>
      </c>
      <c r="P87" s="107" t="s">
        <v>68</v>
      </c>
      <c r="Q87" s="107" t="s">
        <v>243</v>
      </c>
      <c r="R87" s="80">
        <f>IF(COUNTBLANK(M87:N87)&gt;0,0,1/NETWORKDAYS(M87,N87,holiday!B$4:B$20)*(IF($S$5&lt;=M87,0,NETWORKDAYS(M87,IF($S$5&gt;N87,N87,$S$5),holiday!B$4:B$20))))</f>
        <v>0</v>
      </c>
      <c r="S87" s="244"/>
      <c r="T87" s="244"/>
      <c r="U87" s="219">
        <v>0</v>
      </c>
      <c r="V87" s="239">
        <v>0.4</v>
      </c>
      <c r="W87" s="81">
        <f t="shared" ref="W87:W103" si="43">R87*V87</f>
        <v>0</v>
      </c>
      <c r="X87" s="82">
        <f t="shared" ref="X87:X103" si="44">U87*V87</f>
        <v>0</v>
      </c>
      <c r="Y87" s="83" t="str">
        <f>IF(N87-$S$5&lt;=0,0,CONCATENATE(NETWORKDAYS($S$5,N87,holiday!$B$4:$B$20)))</f>
        <v>47</v>
      </c>
      <c r="Z87" s="84">
        <f t="shared" ref="Z87:Z103" si="45">IF(SUM(W87:X87)&gt;0,(X87-W87)/V87,0)</f>
        <v>0</v>
      </c>
      <c r="AA87" s="234"/>
      <c r="AB87" s="228"/>
    </row>
    <row r="88" spans="1:28" s="212" customFormat="1" ht="30" customHeight="1" outlineLevel="1" x14ac:dyDescent="0.3">
      <c r="A88" s="96"/>
      <c r="B88" s="40">
        <v>86</v>
      </c>
      <c r="C88" s="76" t="s">
        <v>166</v>
      </c>
      <c r="D88" s="83">
        <v>3</v>
      </c>
      <c r="E88" s="78"/>
      <c r="F88" s="177"/>
      <c r="G88" s="177"/>
      <c r="H88" s="233" t="s">
        <v>215</v>
      </c>
      <c r="I88" s="79"/>
      <c r="J88" s="79"/>
      <c r="K88" s="79"/>
      <c r="L88" s="77" t="str">
        <f>CONCATENATE(NETWORKDAYS(M88,N88,holiday!B$4:B$20),"일")</f>
        <v>30일</v>
      </c>
      <c r="M88" s="106">
        <f>MIN(M89:M90)</f>
        <v>46143</v>
      </c>
      <c r="N88" s="106">
        <f>MAX(N89:N90)</f>
        <v>46188</v>
      </c>
      <c r="O88" s="107" t="s">
        <v>68</v>
      </c>
      <c r="P88" s="107" t="s">
        <v>68</v>
      </c>
      <c r="Q88" s="107" t="s">
        <v>243</v>
      </c>
      <c r="R88" s="80">
        <f>SUM(W89:W90)</f>
        <v>0</v>
      </c>
      <c r="S88" s="244"/>
      <c r="T88" s="244"/>
      <c r="U88" s="219">
        <f>SUM(X89:X90)</f>
        <v>0</v>
      </c>
      <c r="V88" s="239">
        <v>0.15</v>
      </c>
      <c r="W88" s="81">
        <f t="shared" si="43"/>
        <v>0</v>
      </c>
      <c r="X88" s="82">
        <f t="shared" si="44"/>
        <v>0</v>
      </c>
      <c r="Y88" s="83" t="str">
        <f>IF(N88-$S$5&lt;=0,0,CONCATENATE(NETWORKDAYS($S$5,N88,holiday!$B$4:$B$20)))</f>
        <v>47</v>
      </c>
      <c r="Z88" s="84">
        <f t="shared" si="45"/>
        <v>0</v>
      </c>
      <c r="AA88" s="234"/>
      <c r="AB88" s="228"/>
    </row>
    <row r="89" spans="1:28" s="212" customFormat="1" ht="30" customHeight="1" outlineLevel="1" x14ac:dyDescent="0.3">
      <c r="A89" s="96"/>
      <c r="B89" s="40">
        <v>87</v>
      </c>
      <c r="C89" s="76" t="s">
        <v>165</v>
      </c>
      <c r="D89" s="83">
        <v>4</v>
      </c>
      <c r="E89" s="78"/>
      <c r="F89" s="177"/>
      <c r="G89" s="177"/>
      <c r="H89" s="79"/>
      <c r="I89" s="79" t="s">
        <v>230</v>
      </c>
      <c r="J89" s="79"/>
      <c r="K89" s="79"/>
      <c r="L89" s="77" t="str">
        <f>CONCATENATE(NETWORKDAYS(M89,N89,holiday!B$4:B$20),"일")</f>
        <v>30일</v>
      </c>
      <c r="M89" s="106">
        <v>46143</v>
      </c>
      <c r="N89" s="106">
        <v>46188</v>
      </c>
      <c r="O89" s="107" t="s">
        <v>68</v>
      </c>
      <c r="P89" s="107" t="s">
        <v>68</v>
      </c>
      <c r="Q89" s="107" t="s">
        <v>243</v>
      </c>
      <c r="R89" s="80">
        <f>IF(COUNTBLANK(M89:N89)&gt;0,0,1/NETWORKDAYS(M89,N89,holiday!B$4:B$20)*(IF($S$5&lt;=M89,0,NETWORKDAYS(M89,IF($S$5&gt;N89,N89,$S$5),holiday!B$4:B$20))))</f>
        <v>0</v>
      </c>
      <c r="S89" s="244"/>
      <c r="T89" s="244"/>
      <c r="U89" s="219">
        <v>0</v>
      </c>
      <c r="V89" s="239">
        <v>0.5</v>
      </c>
      <c r="W89" s="81">
        <f t="shared" si="43"/>
        <v>0</v>
      </c>
      <c r="X89" s="82">
        <f t="shared" si="44"/>
        <v>0</v>
      </c>
      <c r="Y89" s="83" t="str">
        <f>IF(N89-$S$5&lt;=0,0,CONCATENATE(NETWORKDAYS($S$5,N89,holiday!$B$4:$B$20)))</f>
        <v>47</v>
      </c>
      <c r="Z89" s="84">
        <f t="shared" si="45"/>
        <v>0</v>
      </c>
      <c r="AA89" s="234"/>
      <c r="AB89" s="228"/>
    </row>
    <row r="90" spans="1:28" s="212" customFormat="1" ht="30" customHeight="1" outlineLevel="1" x14ac:dyDescent="0.3">
      <c r="A90" s="96"/>
      <c r="B90" s="40">
        <v>88</v>
      </c>
      <c r="C90" s="76" t="s">
        <v>167</v>
      </c>
      <c r="D90" s="83">
        <v>4</v>
      </c>
      <c r="E90" s="78"/>
      <c r="F90" s="177"/>
      <c r="G90" s="177"/>
      <c r="H90" s="79"/>
      <c r="I90" s="79" t="s">
        <v>231</v>
      </c>
      <c r="J90" s="79"/>
      <c r="K90" s="79"/>
      <c r="L90" s="77" t="str">
        <f>CONCATENATE(NETWORKDAYS(M90,N90,holiday!B$4:B$20),"일")</f>
        <v>30일</v>
      </c>
      <c r="M90" s="106">
        <v>46143</v>
      </c>
      <c r="N90" s="106">
        <v>46188</v>
      </c>
      <c r="O90" s="107" t="s">
        <v>68</v>
      </c>
      <c r="P90" s="107" t="s">
        <v>68</v>
      </c>
      <c r="Q90" s="107" t="s">
        <v>243</v>
      </c>
      <c r="R90" s="80">
        <f>IF(COUNTBLANK(M90:N90)&gt;0,0,1/NETWORKDAYS(M90,N90,holiday!B$4:B$20)*(IF($S$5&lt;=M90,0,NETWORKDAYS(M90,IF($S$5&gt;N90,N90,$S$5),holiday!B$4:B$20))))</f>
        <v>0</v>
      </c>
      <c r="S90" s="244"/>
      <c r="T90" s="244"/>
      <c r="U90" s="219">
        <v>0</v>
      </c>
      <c r="V90" s="239">
        <v>0.5</v>
      </c>
      <c r="W90" s="81">
        <f t="shared" si="43"/>
        <v>0</v>
      </c>
      <c r="X90" s="82">
        <f t="shared" si="44"/>
        <v>0</v>
      </c>
      <c r="Y90" s="83" t="str">
        <f>IF(N90-$S$5&lt;=0,0,CONCATENATE(NETWORKDAYS($S$5,N90,holiday!$B$4:$B$20)))</f>
        <v>47</v>
      </c>
      <c r="Z90" s="84">
        <f t="shared" si="45"/>
        <v>0</v>
      </c>
      <c r="AA90" s="234"/>
      <c r="AB90" s="228"/>
    </row>
    <row r="91" spans="1:28" s="212" customFormat="1" ht="30" customHeight="1" outlineLevel="1" x14ac:dyDescent="0.3">
      <c r="A91" s="96"/>
      <c r="B91" s="40">
        <v>89</v>
      </c>
      <c r="C91" s="76" t="s">
        <v>153</v>
      </c>
      <c r="D91" s="83">
        <v>3</v>
      </c>
      <c r="E91" s="78"/>
      <c r="F91" s="177"/>
      <c r="G91" s="177"/>
      <c r="H91" s="233" t="s">
        <v>216</v>
      </c>
      <c r="I91" s="79"/>
      <c r="J91" s="79"/>
      <c r="K91" s="79"/>
      <c r="L91" s="77" t="str">
        <f>CONCATENATE(NETWORKDAYS(M91,N91,holiday!B$4:B$20),"일")</f>
        <v>30일</v>
      </c>
      <c r="M91" s="106">
        <f>MIN(M92,M93,M94,M95)</f>
        <v>46143</v>
      </c>
      <c r="N91" s="106">
        <f>MAX(N92,N93,N94,N95)</f>
        <v>46188</v>
      </c>
      <c r="O91" s="107" t="s">
        <v>68</v>
      </c>
      <c r="P91" s="107" t="s">
        <v>68</v>
      </c>
      <c r="Q91" s="107" t="s">
        <v>243</v>
      </c>
      <c r="R91" s="80">
        <f>SUM(W92:W95)</f>
        <v>0</v>
      </c>
      <c r="S91" s="244"/>
      <c r="T91" s="244"/>
      <c r="U91" s="219">
        <f>SUM(X92:X95)</f>
        <v>0</v>
      </c>
      <c r="V91" s="239">
        <v>0.15</v>
      </c>
      <c r="W91" s="81">
        <f t="shared" si="43"/>
        <v>0</v>
      </c>
      <c r="X91" s="82">
        <f t="shared" si="44"/>
        <v>0</v>
      </c>
      <c r="Y91" s="83" t="str">
        <f>IF(N91-$S$5&lt;=0,0,CONCATENATE(NETWORKDAYS($S$5,N91,holiday!$B$4:$B$20)))</f>
        <v>47</v>
      </c>
      <c r="Z91" s="84">
        <f t="shared" si="45"/>
        <v>0</v>
      </c>
      <c r="AA91" s="234"/>
      <c r="AB91" s="228"/>
    </row>
    <row r="92" spans="1:28" s="212" customFormat="1" ht="30" customHeight="1" outlineLevel="1" x14ac:dyDescent="0.3">
      <c r="A92" s="96"/>
      <c r="B92" s="40">
        <v>90</v>
      </c>
      <c r="C92" s="76" t="s">
        <v>259</v>
      </c>
      <c r="D92" s="83">
        <v>4</v>
      </c>
      <c r="E92" s="78"/>
      <c r="F92" s="177"/>
      <c r="G92" s="177"/>
      <c r="H92" s="79"/>
      <c r="I92" s="79" t="s">
        <v>232</v>
      </c>
      <c r="J92" s="79"/>
      <c r="K92" s="79"/>
      <c r="L92" s="77" t="str">
        <f>CONCATENATE(NETWORKDAYS(M92,N92,holiday!B$4:B$20),"일")</f>
        <v>30일</v>
      </c>
      <c r="M92" s="106">
        <v>46143</v>
      </c>
      <c r="N92" s="106">
        <v>46188</v>
      </c>
      <c r="O92" s="107" t="s">
        <v>68</v>
      </c>
      <c r="P92" s="107" t="s">
        <v>68</v>
      </c>
      <c r="Q92" s="107" t="s">
        <v>243</v>
      </c>
      <c r="R92" s="80">
        <f>IF(COUNTBLANK(M92:N92)&gt;0,0,1/NETWORKDAYS(M92,N92,holiday!B$4:B$20)*(IF($S$5&lt;=M92,0,NETWORKDAYS(M92,IF($S$5&gt;N92,N92,$S$5),holiday!B$4:B$20))))</f>
        <v>0</v>
      </c>
      <c r="S92" s="244"/>
      <c r="T92" s="244"/>
      <c r="U92" s="219">
        <v>0</v>
      </c>
      <c r="V92" s="239">
        <v>0.25</v>
      </c>
      <c r="W92" s="81">
        <f t="shared" si="43"/>
        <v>0</v>
      </c>
      <c r="X92" s="82">
        <f t="shared" si="44"/>
        <v>0</v>
      </c>
      <c r="Y92" s="83" t="str">
        <f>IF(N92-$S$5&lt;=0,0,CONCATENATE(NETWORKDAYS($S$5,N92,holiday!$B$4:$B$20)))</f>
        <v>47</v>
      </c>
      <c r="Z92" s="84">
        <f t="shared" si="45"/>
        <v>0</v>
      </c>
      <c r="AA92" s="234"/>
      <c r="AB92" s="228"/>
    </row>
    <row r="93" spans="1:28" s="212" customFormat="1" ht="30" customHeight="1" outlineLevel="1" x14ac:dyDescent="0.3">
      <c r="A93" s="96"/>
      <c r="B93" s="40">
        <v>91</v>
      </c>
      <c r="C93" s="76" t="s">
        <v>260</v>
      </c>
      <c r="D93" s="83">
        <v>4</v>
      </c>
      <c r="E93" s="78"/>
      <c r="F93" s="177"/>
      <c r="G93" s="177"/>
      <c r="H93" s="79"/>
      <c r="I93" s="79" t="s">
        <v>233</v>
      </c>
      <c r="J93" s="79"/>
      <c r="K93" s="79"/>
      <c r="L93" s="77" t="str">
        <f>CONCATENATE(NETWORKDAYS(M93,N93,holiday!B$4:B$20),"일")</f>
        <v>30일</v>
      </c>
      <c r="M93" s="106">
        <v>46143</v>
      </c>
      <c r="N93" s="106">
        <v>46188</v>
      </c>
      <c r="O93" s="107" t="s">
        <v>68</v>
      </c>
      <c r="P93" s="107" t="s">
        <v>68</v>
      </c>
      <c r="Q93" s="107" t="s">
        <v>243</v>
      </c>
      <c r="R93" s="80">
        <f>IF(COUNTBLANK(M93:N93)&gt;0,0,1/NETWORKDAYS(M93,N93,holiday!B$4:B$20)*(IF($S$5&lt;=M93,0,NETWORKDAYS(M93,IF($S$5&gt;N93,N93,$S$5),holiday!B$4:B$20))))</f>
        <v>0</v>
      </c>
      <c r="S93" s="244"/>
      <c r="T93" s="244"/>
      <c r="U93" s="219">
        <v>0</v>
      </c>
      <c r="V93" s="239">
        <v>0.25</v>
      </c>
      <c r="W93" s="81">
        <f t="shared" si="43"/>
        <v>0</v>
      </c>
      <c r="X93" s="82">
        <f t="shared" si="44"/>
        <v>0</v>
      </c>
      <c r="Y93" s="83" t="str">
        <f>IF(N93-$S$5&lt;=0,0,CONCATENATE(NETWORKDAYS($S$5,N93,holiday!$B$4:$B$20)))</f>
        <v>47</v>
      </c>
      <c r="Z93" s="84">
        <f t="shared" si="45"/>
        <v>0</v>
      </c>
      <c r="AA93" s="234"/>
      <c r="AB93" s="228"/>
    </row>
    <row r="94" spans="1:28" s="212" customFormat="1" ht="30" customHeight="1" outlineLevel="1" x14ac:dyDescent="0.3">
      <c r="A94" s="96"/>
      <c r="B94" s="40">
        <v>92</v>
      </c>
      <c r="C94" s="76" t="s">
        <v>261</v>
      </c>
      <c r="D94" s="83">
        <v>4</v>
      </c>
      <c r="E94" s="78"/>
      <c r="F94" s="177"/>
      <c r="G94" s="177"/>
      <c r="H94" s="79"/>
      <c r="I94" s="79" t="s">
        <v>234</v>
      </c>
      <c r="J94" s="79"/>
      <c r="K94" s="79"/>
      <c r="L94" s="77" t="str">
        <f>CONCATENATE(NETWORKDAYS(M94,N94,holiday!B$4:B$20),"일")</f>
        <v>30일</v>
      </c>
      <c r="M94" s="106">
        <v>46143</v>
      </c>
      <c r="N94" s="106">
        <v>46188</v>
      </c>
      <c r="O94" s="107" t="s">
        <v>68</v>
      </c>
      <c r="P94" s="107" t="s">
        <v>68</v>
      </c>
      <c r="Q94" s="107" t="s">
        <v>243</v>
      </c>
      <c r="R94" s="80">
        <f>IF(COUNTBLANK(M94:N94)&gt;0,0,1/NETWORKDAYS(M94,N94,holiday!B$4:B$20)*(IF($S$5&lt;=M94,0,NETWORKDAYS(M94,IF($S$5&gt;N94,N94,$S$5),holiday!B$4:B$20))))</f>
        <v>0</v>
      </c>
      <c r="S94" s="244"/>
      <c r="T94" s="244"/>
      <c r="U94" s="219">
        <v>0</v>
      </c>
      <c r="V94" s="239">
        <v>0.25</v>
      </c>
      <c r="W94" s="81">
        <f t="shared" si="43"/>
        <v>0</v>
      </c>
      <c r="X94" s="82">
        <f t="shared" si="44"/>
        <v>0</v>
      </c>
      <c r="Y94" s="83" t="str">
        <f>IF(N94-$S$5&lt;=0,0,CONCATENATE(NETWORKDAYS($S$5,N94,holiday!$B$4:$B$20)))</f>
        <v>47</v>
      </c>
      <c r="Z94" s="84">
        <f t="shared" si="45"/>
        <v>0</v>
      </c>
      <c r="AA94" s="234"/>
      <c r="AB94" s="228"/>
    </row>
    <row r="95" spans="1:28" s="212" customFormat="1" ht="30" customHeight="1" outlineLevel="1" x14ac:dyDescent="0.3">
      <c r="A95" s="96"/>
      <c r="B95" s="40">
        <v>93</v>
      </c>
      <c r="C95" s="76" t="s">
        <v>262</v>
      </c>
      <c r="D95" s="83">
        <v>4</v>
      </c>
      <c r="E95" s="78"/>
      <c r="F95" s="177"/>
      <c r="G95" s="177"/>
      <c r="H95" s="79"/>
      <c r="I95" s="79" t="s">
        <v>235</v>
      </c>
      <c r="J95" s="79"/>
      <c r="K95" s="79"/>
      <c r="L95" s="77" t="str">
        <f>CONCATENATE(NETWORKDAYS(M95,N95,holiday!B$4:B$20),"일")</f>
        <v>30일</v>
      </c>
      <c r="M95" s="106">
        <v>46143</v>
      </c>
      <c r="N95" s="106">
        <v>46188</v>
      </c>
      <c r="O95" s="107" t="s">
        <v>68</v>
      </c>
      <c r="P95" s="107" t="s">
        <v>68</v>
      </c>
      <c r="Q95" s="107" t="s">
        <v>243</v>
      </c>
      <c r="R95" s="80">
        <f>IF(COUNTBLANK(M95:N95)&gt;0,0,1/NETWORKDAYS(M95,N95,holiday!B$4:B$20)*(IF($S$5&lt;=M95,0,NETWORKDAYS(M95,IF($S$5&gt;N95,N95,$S$5),holiday!B$4:B$20))))</f>
        <v>0</v>
      </c>
      <c r="S95" s="244"/>
      <c r="T95" s="244"/>
      <c r="U95" s="219">
        <v>0</v>
      </c>
      <c r="V95" s="239">
        <v>0.25</v>
      </c>
      <c r="W95" s="81">
        <f t="shared" si="43"/>
        <v>0</v>
      </c>
      <c r="X95" s="82">
        <f t="shared" si="44"/>
        <v>0</v>
      </c>
      <c r="Y95" s="83" t="str">
        <f>IF(N95-$S$5&lt;=0,0,CONCATENATE(NETWORKDAYS($S$5,N95,holiday!$B$4:$B$20)))</f>
        <v>47</v>
      </c>
      <c r="Z95" s="84">
        <f t="shared" si="45"/>
        <v>0</v>
      </c>
      <c r="AA95" s="234"/>
      <c r="AB95" s="228"/>
    </row>
    <row r="96" spans="1:28" s="212" customFormat="1" ht="30" customHeight="1" outlineLevel="1" x14ac:dyDescent="0.3">
      <c r="A96" s="96"/>
      <c r="B96" s="40">
        <v>94</v>
      </c>
      <c r="C96" s="76" t="s">
        <v>163</v>
      </c>
      <c r="D96" s="83">
        <v>3</v>
      </c>
      <c r="E96" s="78"/>
      <c r="F96" s="177"/>
      <c r="G96" s="177"/>
      <c r="H96" s="233" t="s">
        <v>217</v>
      </c>
      <c r="I96" s="79"/>
      <c r="J96" s="79"/>
      <c r="K96" s="79"/>
      <c r="L96" s="77" t="str">
        <f>CONCATENATE(NETWORKDAYS(M96,N96,holiday!B$4:B$20),"일")</f>
        <v>30일</v>
      </c>
      <c r="M96" s="106">
        <f>MIN(M97,M98,M99,M100,M101,M102,M103)</f>
        <v>46143</v>
      </c>
      <c r="N96" s="106">
        <f>MAX(N97,N98,N99,N100,N101,N102,N103)</f>
        <v>46188</v>
      </c>
      <c r="O96" s="107" t="s">
        <v>68</v>
      </c>
      <c r="P96" s="107" t="s">
        <v>68</v>
      </c>
      <c r="Q96" s="107" t="s">
        <v>243</v>
      </c>
      <c r="R96" s="80">
        <f>SUM(W97:W103)</f>
        <v>0</v>
      </c>
      <c r="S96" s="244"/>
      <c r="T96" s="244"/>
      <c r="U96" s="219">
        <f>SUM(X97:X103)</f>
        <v>0</v>
      </c>
      <c r="V96" s="239">
        <v>0.15</v>
      </c>
      <c r="W96" s="81">
        <f t="shared" si="43"/>
        <v>0</v>
      </c>
      <c r="X96" s="82">
        <f t="shared" si="44"/>
        <v>0</v>
      </c>
      <c r="Y96" s="83" t="str">
        <f>IF(N96-$S$5&lt;=0,0,CONCATENATE(NETWORKDAYS($S$5,N96,holiday!$B$4:$B$20)))</f>
        <v>47</v>
      </c>
      <c r="Z96" s="84">
        <f t="shared" si="45"/>
        <v>0</v>
      </c>
      <c r="AA96" s="234"/>
      <c r="AB96" s="228"/>
    </row>
    <row r="97" spans="1:30" s="212" customFormat="1" ht="30" customHeight="1" outlineLevel="1" x14ac:dyDescent="0.3">
      <c r="A97" s="96"/>
      <c r="B97" s="40">
        <v>95</v>
      </c>
      <c r="C97" s="76" t="s">
        <v>164</v>
      </c>
      <c r="D97" s="83">
        <v>4</v>
      </c>
      <c r="E97" s="78"/>
      <c r="F97" s="177"/>
      <c r="G97" s="177"/>
      <c r="H97" s="79"/>
      <c r="I97" s="79" t="s">
        <v>236</v>
      </c>
      <c r="J97" s="79"/>
      <c r="K97" s="79"/>
      <c r="L97" s="77" t="str">
        <f>CONCATENATE(NETWORKDAYS(M97,N97,holiday!B$4:B$20),"일")</f>
        <v>30일</v>
      </c>
      <c r="M97" s="106">
        <v>46143</v>
      </c>
      <c r="N97" s="106">
        <v>46188</v>
      </c>
      <c r="O97" s="107" t="s">
        <v>68</v>
      </c>
      <c r="P97" s="107" t="s">
        <v>68</v>
      </c>
      <c r="Q97" s="107" t="s">
        <v>243</v>
      </c>
      <c r="R97" s="80">
        <f>IF(COUNTBLANK(M97:N97)&gt;0,0,1/NETWORKDAYS(M97,N97,holiday!B$4:B$20)*(IF($S$5&lt;=M97,0,NETWORKDAYS(M97,IF($S$5&gt;N97,N97,$S$5),holiday!B$4:B$20))))</f>
        <v>0</v>
      </c>
      <c r="S97" s="244"/>
      <c r="T97" s="244"/>
      <c r="U97" s="219">
        <v>0</v>
      </c>
      <c r="V97" s="239">
        <v>0.1</v>
      </c>
      <c r="W97" s="81">
        <f t="shared" si="43"/>
        <v>0</v>
      </c>
      <c r="X97" s="82">
        <f t="shared" si="44"/>
        <v>0</v>
      </c>
      <c r="Y97" s="83" t="str">
        <f>IF(N97-$S$5&lt;=0,0,CONCATENATE(NETWORKDAYS($S$5,N97,holiday!$B$4:$B$20)))</f>
        <v>47</v>
      </c>
      <c r="Z97" s="84">
        <f t="shared" si="45"/>
        <v>0</v>
      </c>
      <c r="AA97" s="234"/>
      <c r="AB97" s="228"/>
    </row>
    <row r="98" spans="1:30" s="212" customFormat="1" ht="30" customHeight="1" outlineLevel="1" x14ac:dyDescent="0.3">
      <c r="A98" s="96"/>
      <c r="B98" s="40">
        <v>96</v>
      </c>
      <c r="C98" s="76" t="s">
        <v>147</v>
      </c>
      <c r="D98" s="83">
        <v>4</v>
      </c>
      <c r="E98" s="78"/>
      <c r="F98" s="177"/>
      <c r="G98" s="177"/>
      <c r="H98" s="79"/>
      <c r="I98" s="79" t="s">
        <v>237</v>
      </c>
      <c r="J98" s="79"/>
      <c r="K98" s="79"/>
      <c r="L98" s="77" t="str">
        <f>CONCATENATE(NETWORKDAYS(M98,N98,holiday!B$4:B$20),"일")</f>
        <v>30일</v>
      </c>
      <c r="M98" s="106">
        <v>46143</v>
      </c>
      <c r="N98" s="106">
        <v>46188</v>
      </c>
      <c r="O98" s="107" t="s">
        <v>68</v>
      </c>
      <c r="P98" s="107" t="s">
        <v>68</v>
      </c>
      <c r="Q98" s="107" t="s">
        <v>243</v>
      </c>
      <c r="R98" s="80">
        <f>IF(COUNTBLANK(M98:N98)&gt;0,0,1/NETWORKDAYS(M98,N98,holiday!B$4:B$20)*(IF($S$5&lt;=M98,0,NETWORKDAYS(M98,IF($S$5&gt;N98,N98,$S$5),holiday!B$4:B$20))))</f>
        <v>0</v>
      </c>
      <c r="S98" s="244"/>
      <c r="T98" s="244"/>
      <c r="U98" s="219">
        <v>0</v>
      </c>
      <c r="V98" s="239">
        <v>0.15</v>
      </c>
      <c r="W98" s="81">
        <f t="shared" si="43"/>
        <v>0</v>
      </c>
      <c r="X98" s="82">
        <f t="shared" si="44"/>
        <v>0</v>
      </c>
      <c r="Y98" s="83" t="str">
        <f>IF(N98-$S$5&lt;=0,0,CONCATENATE(NETWORKDAYS($S$5,N98,holiday!$B$4:$B$20)))</f>
        <v>47</v>
      </c>
      <c r="Z98" s="84">
        <f t="shared" si="45"/>
        <v>0</v>
      </c>
      <c r="AA98" s="234"/>
      <c r="AB98" s="228"/>
    </row>
    <row r="99" spans="1:30" s="212" customFormat="1" ht="30" customHeight="1" outlineLevel="1" x14ac:dyDescent="0.3">
      <c r="A99" s="96"/>
      <c r="B99" s="40">
        <v>97</v>
      </c>
      <c r="C99" s="76" t="s">
        <v>148</v>
      </c>
      <c r="D99" s="83">
        <v>4</v>
      </c>
      <c r="E99" s="78"/>
      <c r="F99" s="177"/>
      <c r="G99" s="177"/>
      <c r="H99" s="79"/>
      <c r="I99" s="79" t="s">
        <v>238</v>
      </c>
      <c r="J99" s="79"/>
      <c r="K99" s="79"/>
      <c r="L99" s="77" t="str">
        <f>CONCATENATE(NETWORKDAYS(M99,N99,holiday!B$4:B$20),"일")</f>
        <v>30일</v>
      </c>
      <c r="M99" s="106">
        <v>46143</v>
      </c>
      <c r="N99" s="106">
        <v>46188</v>
      </c>
      <c r="O99" s="107" t="s">
        <v>68</v>
      </c>
      <c r="P99" s="107" t="s">
        <v>68</v>
      </c>
      <c r="Q99" s="107" t="s">
        <v>243</v>
      </c>
      <c r="R99" s="80">
        <f>IF(COUNTBLANK(M99:N99)&gt;0,0,1/NETWORKDAYS(M99,N99,holiday!B$4:B$20)*(IF($S$5&lt;=M99,0,NETWORKDAYS(M99,IF($S$5&gt;N99,N99,$S$5),holiday!B$4:B$20))))</f>
        <v>0</v>
      </c>
      <c r="S99" s="244"/>
      <c r="T99" s="244"/>
      <c r="U99" s="219">
        <v>0</v>
      </c>
      <c r="V99" s="239">
        <v>0.15</v>
      </c>
      <c r="W99" s="81">
        <f t="shared" si="43"/>
        <v>0</v>
      </c>
      <c r="X99" s="82">
        <f t="shared" si="44"/>
        <v>0</v>
      </c>
      <c r="Y99" s="83" t="str">
        <f>IF(N99-$S$5&lt;=0,0,CONCATENATE(NETWORKDAYS($S$5,N99,holiday!$B$4:$B$20)))</f>
        <v>47</v>
      </c>
      <c r="Z99" s="84">
        <f t="shared" si="45"/>
        <v>0</v>
      </c>
      <c r="AA99" s="234"/>
      <c r="AB99" s="228"/>
    </row>
    <row r="100" spans="1:30" s="212" customFormat="1" ht="30" customHeight="1" outlineLevel="1" x14ac:dyDescent="0.3">
      <c r="A100" s="96"/>
      <c r="B100" s="40">
        <v>98</v>
      </c>
      <c r="C100" s="76" t="s">
        <v>263</v>
      </c>
      <c r="D100" s="83">
        <v>4</v>
      </c>
      <c r="E100" s="78"/>
      <c r="F100" s="177"/>
      <c r="G100" s="177"/>
      <c r="H100" s="79"/>
      <c r="I100" s="79" t="s">
        <v>239</v>
      </c>
      <c r="J100" s="79"/>
      <c r="K100" s="79"/>
      <c r="L100" s="77" t="str">
        <f>CONCATENATE(NETWORKDAYS(M100,N100,holiday!B$4:B$20),"일")</f>
        <v>30일</v>
      </c>
      <c r="M100" s="106">
        <v>46143</v>
      </c>
      <c r="N100" s="106">
        <v>46188</v>
      </c>
      <c r="O100" s="107" t="s">
        <v>68</v>
      </c>
      <c r="P100" s="107" t="s">
        <v>68</v>
      </c>
      <c r="Q100" s="107" t="s">
        <v>243</v>
      </c>
      <c r="R100" s="80">
        <f>IF(COUNTBLANK(M100:N100)&gt;0,0,1/NETWORKDAYS(M100,N100,holiday!B$4:B$20)*(IF($S$5&lt;=M100,0,NETWORKDAYS(M100,IF($S$5&gt;N100,N100,$S$5),holiday!B$4:B$20))))</f>
        <v>0</v>
      </c>
      <c r="S100" s="244"/>
      <c r="T100" s="244"/>
      <c r="U100" s="219">
        <v>0</v>
      </c>
      <c r="V100" s="239">
        <v>0.15</v>
      </c>
      <c r="W100" s="81">
        <f t="shared" si="43"/>
        <v>0</v>
      </c>
      <c r="X100" s="82">
        <f t="shared" si="44"/>
        <v>0</v>
      </c>
      <c r="Y100" s="83" t="str">
        <f>IF(N100-$S$5&lt;=0,0,CONCATENATE(NETWORKDAYS($S$5,N100,holiday!$B$4:$B$20)))</f>
        <v>47</v>
      </c>
      <c r="Z100" s="84">
        <f t="shared" si="45"/>
        <v>0</v>
      </c>
      <c r="AA100" s="234"/>
      <c r="AB100" s="228"/>
    </row>
    <row r="101" spans="1:30" s="212" customFormat="1" ht="30" customHeight="1" outlineLevel="1" x14ac:dyDescent="0.3">
      <c r="A101" s="96"/>
      <c r="B101" s="40">
        <v>99</v>
      </c>
      <c r="C101" s="76" t="s">
        <v>264</v>
      </c>
      <c r="D101" s="83">
        <v>4</v>
      </c>
      <c r="E101" s="78"/>
      <c r="F101" s="177"/>
      <c r="G101" s="177"/>
      <c r="H101" s="79"/>
      <c r="I101" s="79" t="s">
        <v>240</v>
      </c>
      <c r="J101" s="79"/>
      <c r="K101" s="79"/>
      <c r="L101" s="77" t="str">
        <f>CONCATENATE(NETWORKDAYS(M101,N101,holiday!B$4:B$20),"일")</f>
        <v>30일</v>
      </c>
      <c r="M101" s="106">
        <v>46143</v>
      </c>
      <c r="N101" s="106">
        <v>46188</v>
      </c>
      <c r="O101" s="107" t="s">
        <v>68</v>
      </c>
      <c r="P101" s="107" t="s">
        <v>68</v>
      </c>
      <c r="Q101" s="107" t="s">
        <v>243</v>
      </c>
      <c r="R101" s="80">
        <f>IF(COUNTBLANK(M101:N101)&gt;0,0,1/NETWORKDAYS(M101,N101,holiday!B$4:B$20)*(IF($S$5&lt;=M101,0,NETWORKDAYS(M101,IF($S$5&gt;N101,N101,$S$5),holiday!B$4:B$20))))</f>
        <v>0</v>
      </c>
      <c r="S101" s="244"/>
      <c r="T101" s="244"/>
      <c r="U101" s="219">
        <v>0</v>
      </c>
      <c r="V101" s="239">
        <v>0.15</v>
      </c>
      <c r="W101" s="81">
        <f t="shared" si="43"/>
        <v>0</v>
      </c>
      <c r="X101" s="82">
        <f t="shared" si="44"/>
        <v>0</v>
      </c>
      <c r="Y101" s="83" t="str">
        <f>IF(N101-$S$5&lt;=0,0,CONCATENATE(NETWORKDAYS($S$5,N101,holiday!$B$4:$B$20)))</f>
        <v>47</v>
      </c>
      <c r="Z101" s="84">
        <f t="shared" si="45"/>
        <v>0</v>
      </c>
      <c r="AA101" s="234"/>
      <c r="AB101" s="228"/>
    </row>
    <row r="102" spans="1:30" s="212" customFormat="1" ht="30" customHeight="1" outlineLevel="1" x14ac:dyDescent="0.3">
      <c r="A102" s="96"/>
      <c r="B102" s="40">
        <v>100</v>
      </c>
      <c r="C102" s="76" t="s">
        <v>265</v>
      </c>
      <c r="D102" s="83">
        <v>4</v>
      </c>
      <c r="E102" s="78"/>
      <c r="F102" s="177"/>
      <c r="G102" s="177"/>
      <c r="H102" s="79"/>
      <c r="I102" s="79" t="s">
        <v>241</v>
      </c>
      <c r="J102" s="79"/>
      <c r="K102" s="79"/>
      <c r="L102" s="77" t="str">
        <f>CONCATENATE(NETWORKDAYS(M102,N102,holiday!B$4:B$20),"일")</f>
        <v>30일</v>
      </c>
      <c r="M102" s="106">
        <v>46143</v>
      </c>
      <c r="N102" s="106">
        <v>46188</v>
      </c>
      <c r="O102" s="107" t="s">
        <v>68</v>
      </c>
      <c r="P102" s="107" t="s">
        <v>68</v>
      </c>
      <c r="Q102" s="107" t="s">
        <v>243</v>
      </c>
      <c r="R102" s="80">
        <f>IF(COUNTBLANK(M102:N102)&gt;0,0,1/NETWORKDAYS(M102,N102,holiday!B$4:B$20)*(IF($S$5&lt;=M102,0,NETWORKDAYS(M102,IF($S$5&gt;N102,N102,$S$5),holiday!B$4:B$20))))</f>
        <v>0</v>
      </c>
      <c r="S102" s="244"/>
      <c r="T102" s="244"/>
      <c r="U102" s="219">
        <v>0</v>
      </c>
      <c r="V102" s="239">
        <v>0.15</v>
      </c>
      <c r="W102" s="81">
        <f t="shared" si="43"/>
        <v>0</v>
      </c>
      <c r="X102" s="82">
        <f t="shared" si="44"/>
        <v>0</v>
      </c>
      <c r="Y102" s="83" t="str">
        <f>IF(N102-$S$5&lt;=0,0,CONCATENATE(NETWORKDAYS($S$5,N102,holiday!$B$4:$B$20)))</f>
        <v>47</v>
      </c>
      <c r="Z102" s="84">
        <f t="shared" si="45"/>
        <v>0</v>
      </c>
      <c r="AA102" s="234"/>
      <c r="AB102" s="228"/>
    </row>
    <row r="103" spans="1:30" s="212" customFormat="1" ht="30" customHeight="1" outlineLevel="1" x14ac:dyDescent="0.3">
      <c r="A103" s="96"/>
      <c r="B103" s="40">
        <v>101</v>
      </c>
      <c r="C103" s="76" t="s">
        <v>266</v>
      </c>
      <c r="D103" s="83">
        <v>4</v>
      </c>
      <c r="E103" s="78"/>
      <c r="F103" s="177"/>
      <c r="G103" s="177"/>
      <c r="H103" s="79"/>
      <c r="I103" s="79" t="s">
        <v>242</v>
      </c>
      <c r="J103" s="79"/>
      <c r="K103" s="79"/>
      <c r="L103" s="77" t="str">
        <f>CONCATENATE(NETWORKDAYS(M103,N103,holiday!B$4:B$20),"일")</f>
        <v>30일</v>
      </c>
      <c r="M103" s="106">
        <v>46143</v>
      </c>
      <c r="N103" s="106">
        <v>46188</v>
      </c>
      <c r="O103" s="107" t="s">
        <v>68</v>
      </c>
      <c r="P103" s="107" t="s">
        <v>68</v>
      </c>
      <c r="Q103" s="107" t="s">
        <v>243</v>
      </c>
      <c r="R103" s="80">
        <f>IF(COUNTBLANK(M103:N103)&gt;0,0,1/NETWORKDAYS(M103,N103,holiday!B$4:B$20)*(IF($S$5&lt;=M103,0,NETWORKDAYS(M103,IF($S$5&gt;N103,N103,$S$5),holiday!B$4:B$20))))</f>
        <v>0</v>
      </c>
      <c r="S103" s="244"/>
      <c r="T103" s="244"/>
      <c r="U103" s="219">
        <v>0</v>
      </c>
      <c r="V103" s="239">
        <v>0.15</v>
      </c>
      <c r="W103" s="81">
        <f t="shared" si="43"/>
        <v>0</v>
      </c>
      <c r="X103" s="82">
        <f t="shared" si="44"/>
        <v>0</v>
      </c>
      <c r="Y103" s="83" t="str">
        <f>IF(N103-$S$5&lt;=0,0,CONCATENATE(NETWORKDAYS($S$5,N103,holiday!$B$4:$B$20)))</f>
        <v>47</v>
      </c>
      <c r="Z103" s="84">
        <f t="shared" si="45"/>
        <v>0</v>
      </c>
      <c r="AA103" s="234"/>
      <c r="AB103" s="228"/>
    </row>
    <row r="104" spans="1:30" s="102" customFormat="1" ht="30" customHeight="1" x14ac:dyDescent="0.3">
      <c r="A104" s="53"/>
      <c r="B104" s="40">
        <v>102</v>
      </c>
      <c r="C104" s="86" t="s">
        <v>19</v>
      </c>
      <c r="D104" s="88">
        <v>1</v>
      </c>
      <c r="E104" s="87"/>
      <c r="F104" s="187" t="s">
        <v>205</v>
      </c>
      <c r="G104" s="187"/>
      <c r="H104" s="229"/>
      <c r="I104" s="229"/>
      <c r="J104" s="229"/>
      <c r="K104" s="229"/>
      <c r="L104" s="242" t="str">
        <f>CONCATENATE(NETWORKDAYS(M104,N104,holiday!B$4:B$20),"일")</f>
        <v>191일</v>
      </c>
      <c r="M104" s="188">
        <f>MIN(M105,M146,M167,M180,M191,M200)</f>
        <v>46101</v>
      </c>
      <c r="N104" s="188">
        <f>MAX(N105,N146,N167,N180,N191,N200)</f>
        <v>46374</v>
      </c>
      <c r="O104" s="189" t="s">
        <v>68</v>
      </c>
      <c r="P104" s="189" t="s">
        <v>68</v>
      </c>
      <c r="Q104" s="189" t="s">
        <v>243</v>
      </c>
      <c r="R104" s="89">
        <f>SUM(W105,W146,W167,W180,W191,W200)</f>
        <v>9.4411025771702572E-2</v>
      </c>
      <c r="S104" s="189"/>
      <c r="T104" s="189"/>
      <c r="U104" s="89">
        <f>SUM(X105,X146,X167,X180,X191,X200)</f>
        <v>0</v>
      </c>
      <c r="V104" s="90">
        <v>0.4</v>
      </c>
      <c r="W104" s="103">
        <f t="shared" ref="W104:W127" si="46">R104*V104</f>
        <v>3.776441030868103E-2</v>
      </c>
      <c r="X104" s="91">
        <f>U104*V104</f>
        <v>0</v>
      </c>
      <c r="Y104" s="88" t="str">
        <f>IF(N104-$S$5&lt;=0,0,CONCATENATE(NETWORKDAYS($S$5,N104,holiday!$B$4:$B$20)))</f>
        <v>178</v>
      </c>
      <c r="Z104" s="92">
        <f>IF(SUM(W104:X104)&gt;0,(X104-W104)/V104,0)</f>
        <v>-9.4411025771702572E-2</v>
      </c>
      <c r="AA104" s="243"/>
      <c r="AB104" s="125"/>
      <c r="AD104" s="203"/>
    </row>
    <row r="105" spans="1:30" s="202" customFormat="1" ht="30" customHeight="1" outlineLevel="1" x14ac:dyDescent="0.3">
      <c r="A105" s="93"/>
      <c r="B105" s="40">
        <v>103</v>
      </c>
      <c r="C105" s="64" t="s">
        <v>28</v>
      </c>
      <c r="D105" s="72">
        <v>2</v>
      </c>
      <c r="E105" s="66"/>
      <c r="F105" s="190"/>
      <c r="G105" s="190" t="s">
        <v>12</v>
      </c>
      <c r="H105" s="67"/>
      <c r="I105" s="67"/>
      <c r="J105" s="67"/>
      <c r="K105" s="67"/>
      <c r="L105" s="65" t="str">
        <f>CONCATENATE(NETWORKDAYS(M105,N105,holiday!B$4:B$20),"일")</f>
        <v>191일</v>
      </c>
      <c r="M105" s="112">
        <f>MIN(M106,M118,M125,M132,M141)</f>
        <v>46101</v>
      </c>
      <c r="N105" s="112">
        <f>MAX(N106,N118,N125,N132,N141)</f>
        <v>46374</v>
      </c>
      <c r="O105" s="113" t="s">
        <v>68</v>
      </c>
      <c r="P105" s="113" t="s">
        <v>183</v>
      </c>
      <c r="Q105" s="113" t="s">
        <v>405</v>
      </c>
      <c r="R105" s="69">
        <f>SUM(W106,W118,W125,W132,W141)</f>
        <v>0.1465726262073993</v>
      </c>
      <c r="S105" s="191"/>
      <c r="T105" s="191"/>
      <c r="U105" s="69">
        <f>SUM(X106,X118,X125,X132,X141)</f>
        <v>0</v>
      </c>
      <c r="V105" s="100">
        <v>0.2</v>
      </c>
      <c r="W105" s="70">
        <f t="shared" si="46"/>
        <v>2.9314525241479861E-2</v>
      </c>
      <c r="X105" s="71">
        <f>U105*V105</f>
        <v>0</v>
      </c>
      <c r="Y105" s="72" t="str">
        <f>IF(N105-$S$5&lt;=0,0,CONCATENATE(NETWORKDAYS($S$5,N105,holiday!$B$4:$B$20)))</f>
        <v>178</v>
      </c>
      <c r="Z105" s="73">
        <f>IF(SUM(W105:X105)&gt;0,(X105-W105)/V105,0)</f>
        <v>-0.1465726262073993</v>
      </c>
      <c r="AA105" s="74"/>
      <c r="AB105" s="121"/>
    </row>
    <row r="106" spans="1:30" s="212" customFormat="1" ht="30" customHeight="1" outlineLevel="1" x14ac:dyDescent="0.3">
      <c r="A106" s="96"/>
      <c r="B106" s="40">
        <v>104</v>
      </c>
      <c r="C106" s="76" t="s">
        <v>268</v>
      </c>
      <c r="D106" s="83">
        <v>3</v>
      </c>
      <c r="E106" s="78"/>
      <c r="F106" s="177"/>
      <c r="G106" s="177"/>
      <c r="H106" s="233" t="s">
        <v>11</v>
      </c>
      <c r="I106" s="79"/>
      <c r="J106" s="79"/>
      <c r="K106" s="79"/>
      <c r="L106" s="77" t="str">
        <f>CONCATENATE(NETWORKDAYS(M106,N106,holiday!B$4:B$20),"일")</f>
        <v>177일</v>
      </c>
      <c r="M106" s="106">
        <f>MIN(M107,M112,M114)</f>
        <v>46101</v>
      </c>
      <c r="N106" s="106">
        <f>MAX(N107,N112,N114)</f>
        <v>46356</v>
      </c>
      <c r="O106" s="107" t="s">
        <v>68</v>
      </c>
      <c r="P106" s="107" t="s">
        <v>183</v>
      </c>
      <c r="Q106" s="107" t="s">
        <v>405</v>
      </c>
      <c r="R106" s="80">
        <f>SUM(W107,W112,W114)</f>
        <v>0.13012575177692726</v>
      </c>
      <c r="S106" s="244"/>
      <c r="T106" s="244"/>
      <c r="U106" s="219">
        <f>SUM(X107,X112,X114)</f>
        <v>0</v>
      </c>
      <c r="V106" s="99">
        <v>0.15</v>
      </c>
      <c r="W106" s="81">
        <f t="shared" si="46"/>
        <v>1.9518862766539087E-2</v>
      </c>
      <c r="X106" s="82">
        <f t="shared" ref="X106:X163" si="47">U106*V106</f>
        <v>0</v>
      </c>
      <c r="Y106" s="83" t="str">
        <f>IF(N106-$S$5&lt;=0,0,CONCATENATE(NETWORKDAYS($S$5,N106,holiday!$B$4:$B$20)))</f>
        <v>164</v>
      </c>
      <c r="Z106" s="84">
        <f t="shared" ref="Z106:Z163" si="48">IF(SUM(W106:X106)&gt;0,(X106-W106)/V106,0)</f>
        <v>-0.13012575177692726</v>
      </c>
      <c r="AA106" s="85"/>
      <c r="AB106" s="228"/>
    </row>
    <row r="107" spans="1:30" s="212" customFormat="1" ht="30" customHeight="1" outlineLevel="1" x14ac:dyDescent="0.3">
      <c r="A107" s="96"/>
      <c r="B107" s="40">
        <v>105</v>
      </c>
      <c r="C107" s="76" t="s">
        <v>267</v>
      </c>
      <c r="D107" s="83">
        <v>4</v>
      </c>
      <c r="E107" s="78"/>
      <c r="F107" s="177"/>
      <c r="G107" s="177"/>
      <c r="H107" s="79"/>
      <c r="I107" s="79" t="s">
        <v>1</v>
      </c>
      <c r="J107" s="79"/>
      <c r="K107" s="79"/>
      <c r="L107" s="77" t="str">
        <f>CONCATENATE(NETWORKDAYS(M107,N107,holiday!B$4:B$20),"일")</f>
        <v>177일</v>
      </c>
      <c r="M107" s="106">
        <f>MIN(M108,M109,M110,M111)</f>
        <v>46101</v>
      </c>
      <c r="N107" s="106">
        <f>MAX(N108,N109,N110,N111)</f>
        <v>46356</v>
      </c>
      <c r="O107" s="107" t="s">
        <v>68</v>
      </c>
      <c r="P107" s="107" t="s">
        <v>183</v>
      </c>
      <c r="Q107" s="107" t="s">
        <v>405</v>
      </c>
      <c r="R107" s="80">
        <f>SUM(W108:W111)</f>
        <v>0.24934390377255328</v>
      </c>
      <c r="S107" s="244"/>
      <c r="T107" s="244"/>
      <c r="U107" s="219">
        <f>SUM(X108:X111)</f>
        <v>0</v>
      </c>
      <c r="V107" s="99">
        <v>0.3</v>
      </c>
      <c r="W107" s="81">
        <f t="shared" si="46"/>
        <v>7.4803171131765975E-2</v>
      </c>
      <c r="X107" s="82">
        <f t="shared" si="47"/>
        <v>0</v>
      </c>
      <c r="Y107" s="83" t="str">
        <f>IF(N107-$S$5&lt;=0,0,CONCATENATE(NETWORKDAYS($S$5,N107,holiday!$B$4:$B$20)))</f>
        <v>164</v>
      </c>
      <c r="Z107" s="84">
        <f t="shared" si="48"/>
        <v>-0.24934390377255325</v>
      </c>
      <c r="AA107" s="85"/>
      <c r="AB107" s="228"/>
    </row>
    <row r="108" spans="1:30" s="212" customFormat="1" ht="30" customHeight="1" outlineLevel="1" x14ac:dyDescent="0.3">
      <c r="A108" s="96"/>
      <c r="B108" s="40">
        <v>106</v>
      </c>
      <c r="C108" s="76" t="s">
        <v>429</v>
      </c>
      <c r="D108" s="83">
        <v>5</v>
      </c>
      <c r="E108" s="78"/>
      <c r="F108" s="177"/>
      <c r="G108" s="177"/>
      <c r="H108" s="79"/>
      <c r="I108" s="79"/>
      <c r="J108" s="79" t="s">
        <v>397</v>
      </c>
      <c r="K108" s="79"/>
      <c r="L108" s="77" t="str">
        <f>CONCATENATE(NETWORKDAYS(M108,N108,holiday!B$4:B$20),"일")</f>
        <v>31일</v>
      </c>
      <c r="M108" s="106">
        <v>46101</v>
      </c>
      <c r="N108" s="106">
        <v>46143</v>
      </c>
      <c r="O108" s="107" t="s">
        <v>68</v>
      </c>
      <c r="P108" s="107" t="s">
        <v>183</v>
      </c>
      <c r="Q108" s="107" t="s">
        <v>405</v>
      </c>
      <c r="R108" s="80">
        <f>IF(COUNTBLANK(M108:N108)&gt;0,0,1/NETWORKDAYS(M108,N108,holiday!B$4:B$20)*(IF($S$5&lt;=M108,0,NETWORKDAYS(M108,IF($S$5&gt;N108,N108,$S$5),holiday!B$4:B$20))))</f>
        <v>0.45161290322580644</v>
      </c>
      <c r="S108" s="244"/>
      <c r="T108" s="244"/>
      <c r="U108" s="219">
        <v>0</v>
      </c>
      <c r="V108" s="99">
        <v>0.25</v>
      </c>
      <c r="W108" s="81">
        <f t="shared" si="46"/>
        <v>0.11290322580645161</v>
      </c>
      <c r="X108" s="82">
        <f t="shared" si="47"/>
        <v>0</v>
      </c>
      <c r="Y108" s="83" t="str">
        <f>IF(N108-$S$5&lt;=0,0,CONCATENATE(NETWORKDAYS($S$5,N108,holiday!$B$4:$B$20)))</f>
        <v>18</v>
      </c>
      <c r="Z108" s="84">
        <f t="shared" si="48"/>
        <v>-0.45161290322580644</v>
      </c>
      <c r="AA108" s="85"/>
      <c r="AB108" s="228"/>
    </row>
    <row r="109" spans="1:30" s="212" customFormat="1" ht="30" customHeight="1" outlineLevel="1" x14ac:dyDescent="0.3">
      <c r="A109" s="96"/>
      <c r="B109" s="40">
        <v>107</v>
      </c>
      <c r="C109" s="76" t="s">
        <v>430</v>
      </c>
      <c r="D109" s="83">
        <v>5</v>
      </c>
      <c r="E109" s="78"/>
      <c r="F109" s="177"/>
      <c r="G109" s="177"/>
      <c r="H109" s="79"/>
      <c r="I109" s="79"/>
      <c r="J109" s="79" t="s">
        <v>417</v>
      </c>
      <c r="K109" s="79"/>
      <c r="L109" s="77" t="str">
        <f>CONCATENATE(NETWORKDAYS(M109,N109,holiday!B$4:B$20),"일")</f>
        <v>135일</v>
      </c>
      <c r="M109" s="106">
        <v>46162</v>
      </c>
      <c r="N109" s="106">
        <v>46356</v>
      </c>
      <c r="O109" s="107" t="s">
        <v>68</v>
      </c>
      <c r="P109" s="107" t="s">
        <v>183</v>
      </c>
      <c r="Q109" s="107" t="s">
        <v>405</v>
      </c>
      <c r="R109" s="80">
        <f>IF(COUNTBLANK(M109:N109)&gt;0,0,1/NETWORKDAYS(M109,N109,holiday!B$4:B$20)*(IF($S$5&lt;=M109,0,NETWORKDAYS(M109,IF($S$5&gt;N109,N109,$S$5),holiday!B$4:B$20))))</f>
        <v>0</v>
      </c>
      <c r="S109" s="244"/>
      <c r="T109" s="244"/>
      <c r="U109" s="219">
        <v>0</v>
      </c>
      <c r="V109" s="99">
        <v>0.25</v>
      </c>
      <c r="W109" s="81">
        <f t="shared" si="46"/>
        <v>0</v>
      </c>
      <c r="X109" s="82">
        <f t="shared" si="47"/>
        <v>0</v>
      </c>
      <c r="Y109" s="83" t="str">
        <f>IF(N109-$S$5&lt;=0,0,CONCATENATE(NETWORKDAYS($S$5,N109,holiday!$B$4:$B$20)))</f>
        <v>164</v>
      </c>
      <c r="Z109" s="84">
        <f t="shared" si="48"/>
        <v>0</v>
      </c>
      <c r="AA109" s="85"/>
      <c r="AB109" s="228"/>
    </row>
    <row r="110" spans="1:30" s="212" customFormat="1" ht="30" customHeight="1" outlineLevel="1" x14ac:dyDescent="0.3">
      <c r="A110" s="96"/>
      <c r="B110" s="40">
        <v>108</v>
      </c>
      <c r="C110" s="76" t="s">
        <v>431</v>
      </c>
      <c r="D110" s="83">
        <v>5</v>
      </c>
      <c r="E110" s="78"/>
      <c r="F110" s="177"/>
      <c r="G110" s="177"/>
      <c r="H110" s="79"/>
      <c r="I110" s="79"/>
      <c r="J110" s="79" t="s">
        <v>416</v>
      </c>
      <c r="K110" s="79"/>
      <c r="L110" s="77" t="str">
        <f>CONCATENATE(NETWORKDAYS(M110,N110,holiday!B$4:B$20),"일")</f>
        <v>30일</v>
      </c>
      <c r="M110" s="106">
        <v>46101</v>
      </c>
      <c r="N110" s="106">
        <v>46142</v>
      </c>
      <c r="O110" s="107" t="s">
        <v>68</v>
      </c>
      <c r="P110" s="107" t="s">
        <v>183</v>
      </c>
      <c r="Q110" s="107" t="s">
        <v>405</v>
      </c>
      <c r="R110" s="80">
        <f>IF(COUNTBLANK(M110:N110)&gt;0,0,1/NETWORKDAYS(M110,N110,holiday!B$4:B$20)*(IF($S$5&lt;=M110,0,NETWORKDAYS(M110,IF($S$5&gt;N110,N110,$S$5),holiday!B$4:B$20))))</f>
        <v>0.46666666666666667</v>
      </c>
      <c r="S110" s="244"/>
      <c r="T110" s="244"/>
      <c r="U110" s="219">
        <v>0</v>
      </c>
      <c r="V110" s="99">
        <v>0.25</v>
      </c>
      <c r="W110" s="81">
        <f t="shared" si="46"/>
        <v>0.11666666666666667</v>
      </c>
      <c r="X110" s="82">
        <f t="shared" si="47"/>
        <v>0</v>
      </c>
      <c r="Y110" s="83" t="str">
        <f>IF(N110-$S$5&lt;=0,0,CONCATENATE(NETWORKDAYS($S$5,N110,holiday!$B$4:$B$20)))</f>
        <v>17</v>
      </c>
      <c r="Z110" s="84">
        <f t="shared" si="48"/>
        <v>-0.46666666666666667</v>
      </c>
      <c r="AA110" s="85"/>
      <c r="AB110" s="228"/>
    </row>
    <row r="111" spans="1:30" s="212" customFormat="1" ht="30" customHeight="1" outlineLevel="1" x14ac:dyDescent="0.3">
      <c r="A111" s="96"/>
      <c r="B111" s="40">
        <v>109</v>
      </c>
      <c r="C111" s="76" t="s">
        <v>432</v>
      </c>
      <c r="D111" s="83">
        <v>5</v>
      </c>
      <c r="E111" s="78"/>
      <c r="F111" s="177"/>
      <c r="G111" s="177"/>
      <c r="H111" s="79"/>
      <c r="I111" s="79"/>
      <c r="J111" s="79" t="s">
        <v>398</v>
      </c>
      <c r="K111" s="79"/>
      <c r="L111" s="77" t="str">
        <f>CONCATENATE(NETWORKDAYS(M111,N111,holiday!B$4:B$20),"일")</f>
        <v>177일</v>
      </c>
      <c r="M111" s="106">
        <v>46101</v>
      </c>
      <c r="N111" s="106">
        <v>46356</v>
      </c>
      <c r="O111" s="107" t="s">
        <v>68</v>
      </c>
      <c r="P111" s="107" t="s">
        <v>183</v>
      </c>
      <c r="Q111" s="107" t="s">
        <v>405</v>
      </c>
      <c r="R111" s="80">
        <f>IF(COUNTBLANK(M111:N111)&gt;0,0,1/NETWORKDAYS(M111,N111,holiday!B$4:B$20)*(IF($S$5&lt;=M111,0,NETWORKDAYS(M111,IF($S$5&gt;N111,N111,$S$5),holiday!B$4:B$20))))</f>
        <v>7.9096045197740106E-2</v>
      </c>
      <c r="S111" s="244"/>
      <c r="T111" s="244"/>
      <c r="U111" s="219">
        <v>0</v>
      </c>
      <c r="V111" s="99">
        <v>0.25</v>
      </c>
      <c r="W111" s="81">
        <f t="shared" si="46"/>
        <v>1.9774011299435026E-2</v>
      </c>
      <c r="X111" s="82">
        <f t="shared" si="47"/>
        <v>0</v>
      </c>
      <c r="Y111" s="83" t="str">
        <f>IF(N111-$S$5&lt;=0,0,CONCATENATE(NETWORKDAYS($S$5,N111,holiday!$B$4:$B$20)))</f>
        <v>164</v>
      </c>
      <c r="Z111" s="84">
        <f t="shared" si="48"/>
        <v>-7.9096045197740106E-2</v>
      </c>
      <c r="AA111" s="85"/>
      <c r="AB111" s="228"/>
    </row>
    <row r="112" spans="1:30" s="212" customFormat="1" ht="30" customHeight="1" outlineLevel="1" x14ac:dyDescent="0.3">
      <c r="A112" s="96"/>
      <c r="B112" s="40">
        <v>110</v>
      </c>
      <c r="C112" s="76" t="s">
        <v>269</v>
      </c>
      <c r="D112" s="83">
        <v>4</v>
      </c>
      <c r="E112" s="78"/>
      <c r="F112" s="177"/>
      <c r="G112" s="177"/>
      <c r="H112" s="79"/>
      <c r="I112" s="79" t="s">
        <v>124</v>
      </c>
      <c r="J112" s="79"/>
      <c r="K112" s="79"/>
      <c r="L112" s="77" t="str">
        <f>CONCATENATE(NETWORKDAYS(M112,N112,holiday!B$4:B$20),"일")</f>
        <v>135일</v>
      </c>
      <c r="M112" s="106">
        <f>MIN(M113)</f>
        <v>46162</v>
      </c>
      <c r="N112" s="106">
        <f>MAX(N113)</f>
        <v>46356</v>
      </c>
      <c r="O112" s="107" t="s">
        <v>68</v>
      </c>
      <c r="P112" s="107" t="s">
        <v>183</v>
      </c>
      <c r="Q112" s="107" t="s">
        <v>405</v>
      </c>
      <c r="R112" s="80">
        <f>SUM(W113)</f>
        <v>0</v>
      </c>
      <c r="S112" s="244"/>
      <c r="T112" s="244"/>
      <c r="U112" s="219">
        <f>SUM(X113)</f>
        <v>0</v>
      </c>
      <c r="V112" s="99">
        <v>0.35</v>
      </c>
      <c r="W112" s="81">
        <f t="shared" si="46"/>
        <v>0</v>
      </c>
      <c r="X112" s="82">
        <f t="shared" si="47"/>
        <v>0</v>
      </c>
      <c r="Y112" s="83" t="str">
        <f>IF(N112-$S$5&lt;=0,0,CONCATENATE(NETWORKDAYS($S$5,N112,holiday!$B$4:$B$20)))</f>
        <v>164</v>
      </c>
      <c r="Z112" s="84">
        <f t="shared" si="48"/>
        <v>0</v>
      </c>
      <c r="AA112" s="85"/>
      <c r="AB112" s="228"/>
    </row>
    <row r="113" spans="1:28" s="212" customFormat="1" ht="30" customHeight="1" outlineLevel="1" x14ac:dyDescent="0.3">
      <c r="A113" s="96"/>
      <c r="B113" s="40">
        <v>111</v>
      </c>
      <c r="C113" s="76" t="s">
        <v>433</v>
      </c>
      <c r="D113" s="83">
        <v>5</v>
      </c>
      <c r="E113" s="78"/>
      <c r="F113" s="177"/>
      <c r="G113" s="177"/>
      <c r="H113" s="79"/>
      <c r="I113" s="79"/>
      <c r="J113" s="79" t="s">
        <v>399</v>
      </c>
      <c r="K113" s="79"/>
      <c r="L113" s="77" t="str">
        <f>CONCATENATE(NETWORKDAYS(M113,N113,holiday!B$4:B$20),"일")</f>
        <v>135일</v>
      </c>
      <c r="M113" s="106">
        <v>46162</v>
      </c>
      <c r="N113" s="106">
        <v>46356</v>
      </c>
      <c r="O113" s="107" t="s">
        <v>68</v>
      </c>
      <c r="P113" s="107" t="s">
        <v>183</v>
      </c>
      <c r="Q113" s="107" t="s">
        <v>405</v>
      </c>
      <c r="R113" s="80">
        <f>IF(COUNTBLANK(M113:N113)&gt;0,0,1/NETWORKDAYS(M113,N113,holiday!B$4:B$20)*(IF($S$5&lt;=M113,0,NETWORKDAYS(M113,IF($S$5&gt;N113,N113,$S$5),holiday!B$4:B$20))))</f>
        <v>0</v>
      </c>
      <c r="S113" s="244"/>
      <c r="T113" s="244"/>
      <c r="U113" s="219">
        <v>0</v>
      </c>
      <c r="V113" s="99">
        <v>1</v>
      </c>
      <c r="W113" s="81">
        <f t="shared" si="46"/>
        <v>0</v>
      </c>
      <c r="X113" s="82">
        <f t="shared" si="47"/>
        <v>0</v>
      </c>
      <c r="Y113" s="83" t="str">
        <f>IF(N113-$S$5&lt;=0,0,CONCATENATE(NETWORKDAYS($S$5,N113,holiday!$B$4:$B$20)))</f>
        <v>164</v>
      </c>
      <c r="Z113" s="84">
        <f t="shared" si="48"/>
        <v>0</v>
      </c>
      <c r="AA113" s="85"/>
      <c r="AB113" s="228"/>
    </row>
    <row r="114" spans="1:28" s="212" customFormat="1" ht="30" customHeight="1" outlineLevel="1" x14ac:dyDescent="0.3">
      <c r="A114" s="96"/>
      <c r="B114" s="40">
        <v>112</v>
      </c>
      <c r="C114" s="76" t="s">
        <v>270</v>
      </c>
      <c r="D114" s="83">
        <v>4</v>
      </c>
      <c r="E114" s="78"/>
      <c r="F114" s="177"/>
      <c r="G114" s="177"/>
      <c r="H114" s="79"/>
      <c r="I114" s="79" t="s">
        <v>125</v>
      </c>
      <c r="J114" s="79"/>
      <c r="K114" s="79"/>
      <c r="L114" s="77" t="str">
        <f>CONCATENATE(NETWORKDAYS(M114,N114,holiday!B$4:B$20),"일")</f>
        <v>31일</v>
      </c>
      <c r="M114" s="106">
        <f>MIN(M115,M116,M117)</f>
        <v>46101</v>
      </c>
      <c r="N114" s="106">
        <f>MAX(N115,N116,N117)</f>
        <v>46143</v>
      </c>
      <c r="O114" s="107" t="s">
        <v>68</v>
      </c>
      <c r="P114" s="107" t="s">
        <v>183</v>
      </c>
      <c r="Q114" s="107" t="s">
        <v>405</v>
      </c>
      <c r="R114" s="80">
        <f>SUM(W115:W117)</f>
        <v>0.15806451612903225</v>
      </c>
      <c r="S114" s="244"/>
      <c r="T114" s="244"/>
      <c r="U114" s="219">
        <f>SUM(X115:X117)</f>
        <v>0</v>
      </c>
      <c r="V114" s="99">
        <v>0.35</v>
      </c>
      <c r="W114" s="81">
        <f t="shared" si="46"/>
        <v>5.5322580645161282E-2</v>
      </c>
      <c r="X114" s="82">
        <f t="shared" si="47"/>
        <v>0</v>
      </c>
      <c r="Y114" s="83" t="str">
        <f>IF(N114-$S$5&lt;=0,0,CONCATENATE(NETWORKDAYS($S$5,N114,holiday!$B$4:$B$20)))</f>
        <v>18</v>
      </c>
      <c r="Z114" s="84">
        <f t="shared" si="48"/>
        <v>-0.15806451612903225</v>
      </c>
      <c r="AA114" s="85"/>
      <c r="AB114" s="228"/>
    </row>
    <row r="115" spans="1:28" s="212" customFormat="1" ht="30" customHeight="1" outlineLevel="1" x14ac:dyDescent="0.3">
      <c r="A115" s="96"/>
      <c r="B115" s="40">
        <v>113</v>
      </c>
      <c r="C115" s="76" t="s">
        <v>434</v>
      </c>
      <c r="D115" s="83">
        <v>5</v>
      </c>
      <c r="E115" s="78"/>
      <c r="F115" s="177"/>
      <c r="G115" s="177"/>
      <c r="H115" s="79"/>
      <c r="I115" s="79"/>
      <c r="J115" s="79" t="s">
        <v>402</v>
      </c>
      <c r="K115" s="79"/>
      <c r="L115" s="77" t="str">
        <f>CONCATENATE(NETWORKDAYS(M115,N115,holiday!B$4:B$20),"일")</f>
        <v>31일</v>
      </c>
      <c r="M115" s="106">
        <v>46101</v>
      </c>
      <c r="N115" s="106">
        <v>46143</v>
      </c>
      <c r="O115" s="107" t="s">
        <v>68</v>
      </c>
      <c r="P115" s="107" t="s">
        <v>183</v>
      </c>
      <c r="Q115" s="107" t="s">
        <v>405</v>
      </c>
      <c r="R115" s="80">
        <f>IF(COUNTBLANK(M115:N115)&gt;0,0,1/NETWORKDAYS(M115,N115,holiday!B$4:B$20)*(IF($S$5&lt;=M115,0,NETWORKDAYS(M115,IF($S$5&gt;N115,N115,$S$5),holiday!B$4:B$20))))</f>
        <v>0.45161290322580644</v>
      </c>
      <c r="S115" s="244"/>
      <c r="T115" s="244"/>
      <c r="U115" s="219">
        <v>0</v>
      </c>
      <c r="V115" s="99">
        <v>0.35</v>
      </c>
      <c r="W115" s="81">
        <f t="shared" si="46"/>
        <v>0.15806451612903225</v>
      </c>
      <c r="X115" s="82">
        <f t="shared" si="47"/>
        <v>0</v>
      </c>
      <c r="Y115" s="83" t="str">
        <f>IF(N115-$S$5&lt;=0,0,CONCATENATE(NETWORKDAYS($S$5,N115,holiday!$B$4:$B$20)))</f>
        <v>18</v>
      </c>
      <c r="Z115" s="84">
        <f t="shared" si="48"/>
        <v>-0.45161290322580644</v>
      </c>
      <c r="AA115" s="85"/>
      <c r="AB115" s="228"/>
    </row>
    <row r="116" spans="1:28" s="212" customFormat="1" ht="30" customHeight="1" outlineLevel="1" x14ac:dyDescent="0.3">
      <c r="A116" s="96"/>
      <c r="B116" s="40">
        <v>114</v>
      </c>
      <c r="C116" s="76" t="s">
        <v>435</v>
      </c>
      <c r="D116" s="83">
        <v>5</v>
      </c>
      <c r="E116" s="78"/>
      <c r="F116" s="177"/>
      <c r="G116" s="177"/>
      <c r="H116" s="79"/>
      <c r="I116" s="79"/>
      <c r="J116" s="79" t="s">
        <v>400</v>
      </c>
      <c r="K116" s="79"/>
      <c r="L116" s="77" t="str">
        <f>CONCATENATE(NETWORKDAYS(M116,N116,holiday!B$4:B$20),"일")</f>
        <v>-13일</v>
      </c>
      <c r="M116" s="106">
        <v>46162</v>
      </c>
      <c r="N116" s="106">
        <v>46143</v>
      </c>
      <c r="O116" s="107" t="s">
        <v>68</v>
      </c>
      <c r="P116" s="107" t="s">
        <v>183</v>
      </c>
      <c r="Q116" s="107" t="s">
        <v>405</v>
      </c>
      <c r="R116" s="80">
        <f>IF(COUNTBLANK(M116:N116)&gt;0,0,1/NETWORKDAYS(M116,N116,holiday!B$4:B$20)*(IF($S$5&lt;=M116,0,NETWORKDAYS(M116,IF($S$5&gt;N116,N116,$S$5),holiday!B$4:B$20))))</f>
        <v>0</v>
      </c>
      <c r="S116" s="244"/>
      <c r="T116" s="244"/>
      <c r="U116" s="219">
        <v>0</v>
      </c>
      <c r="V116" s="99">
        <v>0.35</v>
      </c>
      <c r="W116" s="81">
        <f t="shared" si="46"/>
        <v>0</v>
      </c>
      <c r="X116" s="82">
        <f t="shared" si="47"/>
        <v>0</v>
      </c>
      <c r="Y116" s="83" t="str">
        <f>IF(N116-$S$5&lt;=0,0,CONCATENATE(NETWORKDAYS($S$5,N116,holiday!$B$4:$B$20)))</f>
        <v>18</v>
      </c>
      <c r="Z116" s="84">
        <f t="shared" si="48"/>
        <v>0</v>
      </c>
      <c r="AA116" s="85"/>
      <c r="AB116" s="228"/>
    </row>
    <row r="117" spans="1:28" s="212" customFormat="1" ht="30" customHeight="1" outlineLevel="1" x14ac:dyDescent="0.3">
      <c r="A117" s="96"/>
      <c r="B117" s="40">
        <v>115</v>
      </c>
      <c r="C117" s="76" t="s">
        <v>436</v>
      </c>
      <c r="D117" s="83">
        <v>5</v>
      </c>
      <c r="E117" s="78"/>
      <c r="F117" s="177"/>
      <c r="G117" s="177"/>
      <c r="H117" s="79"/>
      <c r="I117" s="79"/>
      <c r="J117" s="79" t="s">
        <v>401</v>
      </c>
      <c r="K117" s="79"/>
      <c r="L117" s="77" t="str">
        <f>CONCATENATE(NETWORKDAYS(M117,N117,holiday!B$4:B$20),"일")</f>
        <v>-13일</v>
      </c>
      <c r="M117" s="106">
        <v>46162</v>
      </c>
      <c r="N117" s="106">
        <v>46143</v>
      </c>
      <c r="O117" s="107" t="s">
        <v>68</v>
      </c>
      <c r="P117" s="107" t="s">
        <v>183</v>
      </c>
      <c r="Q117" s="107" t="s">
        <v>405</v>
      </c>
      <c r="R117" s="80">
        <f>IF(COUNTBLANK(M117:N117)&gt;0,0,1/NETWORKDAYS(M117,N117,holiday!B$4:B$20)*(IF($S$5&lt;=M117,0,NETWORKDAYS(M117,IF($S$5&gt;N117,N117,$S$5),holiday!B$4:B$20))))</f>
        <v>0</v>
      </c>
      <c r="S117" s="244"/>
      <c r="T117" s="244"/>
      <c r="U117" s="219">
        <v>0</v>
      </c>
      <c r="V117" s="99">
        <v>0.3</v>
      </c>
      <c r="W117" s="81">
        <f t="shared" si="46"/>
        <v>0</v>
      </c>
      <c r="X117" s="82">
        <f t="shared" si="47"/>
        <v>0</v>
      </c>
      <c r="Y117" s="83" t="str">
        <f>IF(N117-$S$5&lt;=0,0,CONCATENATE(NETWORKDAYS($S$5,N117,holiday!$B$4:$B$20)))</f>
        <v>18</v>
      </c>
      <c r="Z117" s="84">
        <f t="shared" si="48"/>
        <v>0</v>
      </c>
      <c r="AA117" s="85"/>
      <c r="AB117" s="228"/>
    </row>
    <row r="118" spans="1:28" s="212" customFormat="1" ht="30" customHeight="1" outlineLevel="1" x14ac:dyDescent="0.3">
      <c r="A118" s="96"/>
      <c r="B118" s="40">
        <v>116</v>
      </c>
      <c r="C118" s="76" t="s">
        <v>271</v>
      </c>
      <c r="D118" s="83">
        <v>3</v>
      </c>
      <c r="E118" s="78"/>
      <c r="F118" s="177"/>
      <c r="G118" s="177"/>
      <c r="H118" s="233" t="s">
        <v>126</v>
      </c>
      <c r="I118" s="79"/>
      <c r="J118" s="79"/>
      <c r="K118" s="79"/>
      <c r="L118" s="77" t="str">
        <f>CONCATENATE(NETWORKDAYS(M118,N118,holiday!B$4:B$20),"일")</f>
        <v>178일</v>
      </c>
      <c r="M118" s="106">
        <f>MIN(M119)</f>
        <v>46101</v>
      </c>
      <c r="N118" s="106">
        <f>MAX(N119)</f>
        <v>46357</v>
      </c>
      <c r="O118" s="107" t="s">
        <v>68</v>
      </c>
      <c r="P118" s="107" t="s">
        <v>183</v>
      </c>
      <c r="Q118" s="107" t="s">
        <v>405</v>
      </c>
      <c r="R118" s="80">
        <f>SUM(W119)</f>
        <v>0.18365591397849462</v>
      </c>
      <c r="S118" s="244"/>
      <c r="T118" s="244"/>
      <c r="U118" s="219">
        <f>SUM(X119)</f>
        <v>0</v>
      </c>
      <c r="V118" s="99">
        <v>0.2</v>
      </c>
      <c r="W118" s="81">
        <f t="shared" si="46"/>
        <v>3.6731182795698925E-2</v>
      </c>
      <c r="X118" s="82">
        <f t="shared" si="47"/>
        <v>0</v>
      </c>
      <c r="Y118" s="83" t="str">
        <f>IF(N118-$S$5&lt;=0,0,CONCATENATE(NETWORKDAYS($S$5,N118,holiday!$B$4:$B$20)))</f>
        <v>165</v>
      </c>
      <c r="Z118" s="84">
        <f t="shared" si="48"/>
        <v>-0.18365591397849462</v>
      </c>
      <c r="AA118" s="85"/>
      <c r="AB118" s="228"/>
    </row>
    <row r="119" spans="1:28" s="212" customFormat="1" ht="30" customHeight="1" outlineLevel="1" x14ac:dyDescent="0.3">
      <c r="A119" s="96"/>
      <c r="B119" s="40">
        <v>117</v>
      </c>
      <c r="C119" s="76" t="s">
        <v>272</v>
      </c>
      <c r="D119" s="83">
        <v>4</v>
      </c>
      <c r="E119" s="78"/>
      <c r="F119" s="177"/>
      <c r="G119" s="177"/>
      <c r="H119" s="79"/>
      <c r="I119" s="79" t="s">
        <v>419</v>
      </c>
      <c r="J119" s="79"/>
      <c r="K119" s="79"/>
      <c r="L119" s="77" t="str">
        <f>CONCATENATE(NETWORKDAYS(M119,N119,holiday!B$4:B$20),"일")</f>
        <v>178일</v>
      </c>
      <c r="M119" s="106">
        <f>MIN(M120,M121,M122,M123,M124)</f>
        <v>46101</v>
      </c>
      <c r="N119" s="106">
        <f>MAX(N120,N121,N122,N123,N124)</f>
        <v>46357</v>
      </c>
      <c r="O119" s="107" t="s">
        <v>68</v>
      </c>
      <c r="P119" s="107" t="s">
        <v>183</v>
      </c>
      <c r="Q119" s="107" t="s">
        <v>405</v>
      </c>
      <c r="R119" s="80">
        <f>SUM(W120:W124)</f>
        <v>0.18365591397849462</v>
      </c>
      <c r="S119" s="244"/>
      <c r="T119" s="244"/>
      <c r="U119" s="219">
        <f>SUM(X120:X124)</f>
        <v>0</v>
      </c>
      <c r="V119" s="99">
        <v>1</v>
      </c>
      <c r="W119" s="81">
        <f t="shared" si="46"/>
        <v>0.18365591397849462</v>
      </c>
      <c r="X119" s="82">
        <f t="shared" si="47"/>
        <v>0</v>
      </c>
      <c r="Y119" s="83" t="str">
        <f>IF(N119-$S$5&lt;=0,0,CONCATENATE(NETWORKDAYS($S$5,N119,holiday!$B$4:$B$20)))</f>
        <v>165</v>
      </c>
      <c r="Z119" s="84">
        <f t="shared" si="48"/>
        <v>-0.18365591397849462</v>
      </c>
      <c r="AA119" s="85"/>
      <c r="AB119" s="228"/>
    </row>
    <row r="120" spans="1:28" s="212" customFormat="1" ht="30" customHeight="1" outlineLevel="1" x14ac:dyDescent="0.3">
      <c r="A120" s="96"/>
      <c r="B120" s="40">
        <v>118</v>
      </c>
      <c r="C120" s="76" t="s">
        <v>437</v>
      </c>
      <c r="D120" s="83">
        <v>5</v>
      </c>
      <c r="E120" s="78"/>
      <c r="F120" s="177"/>
      <c r="G120" s="177"/>
      <c r="H120" s="79"/>
      <c r="I120" s="79"/>
      <c r="J120" s="79" t="s">
        <v>418</v>
      </c>
      <c r="K120" s="79"/>
      <c r="L120" s="77" t="str">
        <f>CONCATENATE(NETWORKDAYS(M120,N120,holiday!B$4:B$20),"일")</f>
        <v>31일</v>
      </c>
      <c r="M120" s="106">
        <v>46101</v>
      </c>
      <c r="N120" s="106">
        <v>46143</v>
      </c>
      <c r="O120" s="107" t="s">
        <v>68</v>
      </c>
      <c r="P120" s="107" t="s">
        <v>183</v>
      </c>
      <c r="Q120" s="107" t="s">
        <v>405</v>
      </c>
      <c r="R120" s="80">
        <f>IF(COUNTBLANK(M120:N120)&gt;0,0,1/NETWORKDAYS(M120,N120,holiday!B$4:B$20)*(IF($S$5&lt;=M120,0,NETWORKDAYS(M120,IF($S$5&gt;N120,N120,$S$5),holiday!B$4:B$20))))</f>
        <v>0.45161290322580644</v>
      </c>
      <c r="S120" s="244"/>
      <c r="T120" s="244"/>
      <c r="U120" s="219">
        <v>0</v>
      </c>
      <c r="V120" s="99">
        <v>0.2</v>
      </c>
      <c r="W120" s="81">
        <f t="shared" si="46"/>
        <v>9.0322580645161299E-2</v>
      </c>
      <c r="X120" s="82">
        <f t="shared" si="47"/>
        <v>0</v>
      </c>
      <c r="Y120" s="83" t="str">
        <f>IF(N120-$S$5&lt;=0,0,CONCATENATE(NETWORKDAYS($S$5,N120,holiday!$B$4:$B$20)))</f>
        <v>18</v>
      </c>
      <c r="Z120" s="84">
        <f t="shared" si="48"/>
        <v>-0.45161290322580649</v>
      </c>
      <c r="AA120" s="85"/>
      <c r="AB120" s="228"/>
    </row>
    <row r="121" spans="1:28" s="212" customFormat="1" ht="30" customHeight="1" outlineLevel="1" x14ac:dyDescent="0.3">
      <c r="A121" s="96"/>
      <c r="B121" s="40">
        <v>119</v>
      </c>
      <c r="C121" s="76" t="s">
        <v>438</v>
      </c>
      <c r="D121" s="83">
        <v>5</v>
      </c>
      <c r="E121" s="78"/>
      <c r="F121" s="177"/>
      <c r="G121" s="177"/>
      <c r="H121" s="79"/>
      <c r="I121" s="79"/>
      <c r="J121" s="79" t="s">
        <v>403</v>
      </c>
      <c r="K121" s="79"/>
      <c r="L121" s="77" t="str">
        <f>CONCATENATE(NETWORKDAYS(M121,N121,holiday!B$4:B$20),"일")</f>
        <v>136일</v>
      </c>
      <c r="M121" s="106">
        <v>46162</v>
      </c>
      <c r="N121" s="106">
        <v>46357</v>
      </c>
      <c r="O121" s="107" t="s">
        <v>68</v>
      </c>
      <c r="P121" s="107" t="s">
        <v>183</v>
      </c>
      <c r="Q121" s="107" t="s">
        <v>405</v>
      </c>
      <c r="R121" s="80">
        <f>IF(COUNTBLANK(M121:N121)&gt;0,0,1/NETWORKDAYS(M121,N121,holiday!B$4:B$20)*(IF($S$5&lt;=M121,0,NETWORKDAYS(M121,IF($S$5&gt;N121,N121,$S$5),holiday!B$4:B$20))))</f>
        <v>0</v>
      </c>
      <c r="S121" s="244"/>
      <c r="T121" s="244"/>
      <c r="U121" s="219">
        <v>0</v>
      </c>
      <c r="V121" s="99">
        <v>0.2</v>
      </c>
      <c r="W121" s="81">
        <f t="shared" si="46"/>
        <v>0</v>
      </c>
      <c r="X121" s="82">
        <f t="shared" si="47"/>
        <v>0</v>
      </c>
      <c r="Y121" s="83" t="str">
        <f>IF(N121-$S$5&lt;=0,0,CONCATENATE(NETWORKDAYS($S$5,N121,holiday!$B$4:$B$20)))</f>
        <v>165</v>
      </c>
      <c r="Z121" s="84">
        <f t="shared" si="48"/>
        <v>0</v>
      </c>
      <c r="AA121" s="85"/>
      <c r="AB121" s="228"/>
    </row>
    <row r="122" spans="1:28" s="212" customFormat="1" ht="30" customHeight="1" outlineLevel="1" x14ac:dyDescent="0.3">
      <c r="A122" s="96"/>
      <c r="B122" s="40">
        <v>120</v>
      </c>
      <c r="C122" s="76" t="s">
        <v>439</v>
      </c>
      <c r="D122" s="83">
        <v>5</v>
      </c>
      <c r="E122" s="78"/>
      <c r="F122" s="177"/>
      <c r="G122" s="177"/>
      <c r="H122" s="79"/>
      <c r="I122" s="79"/>
      <c r="J122" s="79" t="s">
        <v>423</v>
      </c>
      <c r="K122" s="79"/>
      <c r="L122" s="77" t="str">
        <f>CONCATENATE(NETWORKDAYS(M122,N122,holiday!B$4:B$20),"일")</f>
        <v>30일</v>
      </c>
      <c r="M122" s="106">
        <v>46101</v>
      </c>
      <c r="N122" s="106">
        <v>46142</v>
      </c>
      <c r="O122" s="107" t="s">
        <v>68</v>
      </c>
      <c r="P122" s="107" t="s">
        <v>183</v>
      </c>
      <c r="Q122" s="107" t="s">
        <v>405</v>
      </c>
      <c r="R122" s="80">
        <f>IF(COUNTBLANK(M122:N122)&gt;0,0,1/NETWORKDAYS(M122,N122,holiday!B$4:B$20)*(IF($S$5&lt;=M122,0,NETWORKDAYS(M122,IF($S$5&gt;N122,N122,$S$5),holiday!B$4:B$20))))</f>
        <v>0.46666666666666667</v>
      </c>
      <c r="S122" s="244"/>
      <c r="T122" s="244"/>
      <c r="U122" s="219">
        <v>0</v>
      </c>
      <c r="V122" s="99">
        <v>0.2</v>
      </c>
      <c r="W122" s="81">
        <f t="shared" si="46"/>
        <v>9.3333333333333338E-2</v>
      </c>
      <c r="X122" s="82">
        <f t="shared" si="47"/>
        <v>0</v>
      </c>
      <c r="Y122" s="83" t="str">
        <f>IF(N122-$S$5&lt;=0,0,CONCATENATE(NETWORKDAYS($S$5,N122,holiday!$B$4:$B$20)))</f>
        <v>17</v>
      </c>
      <c r="Z122" s="84">
        <f t="shared" si="48"/>
        <v>-0.46666666666666667</v>
      </c>
      <c r="AA122" s="85"/>
      <c r="AB122" s="228"/>
    </row>
    <row r="123" spans="1:28" s="212" customFormat="1" ht="30" customHeight="1" outlineLevel="1" x14ac:dyDescent="0.3">
      <c r="A123" s="96"/>
      <c r="B123" s="40">
        <v>121</v>
      </c>
      <c r="C123" s="76" t="s">
        <v>440</v>
      </c>
      <c r="D123" s="83">
        <v>5</v>
      </c>
      <c r="E123" s="78"/>
      <c r="F123" s="177"/>
      <c r="G123" s="177"/>
      <c r="H123" s="79"/>
      <c r="I123" s="79"/>
      <c r="J123" s="79" t="s">
        <v>422</v>
      </c>
      <c r="K123" s="79"/>
      <c r="L123" s="77" t="str">
        <f>CONCATENATE(NETWORKDAYS(M123,N123,holiday!B$4:B$20),"일")</f>
        <v>136일</v>
      </c>
      <c r="M123" s="106">
        <v>46162</v>
      </c>
      <c r="N123" s="106">
        <v>46357</v>
      </c>
      <c r="O123" s="107" t="s">
        <v>68</v>
      </c>
      <c r="P123" s="107" t="s">
        <v>183</v>
      </c>
      <c r="Q123" s="107" t="s">
        <v>405</v>
      </c>
      <c r="R123" s="80">
        <f>IF(COUNTBLANK(M123:N123)&gt;0,0,1/NETWORKDAYS(M123,N123,holiday!B$4:B$20)*(IF($S$5&lt;=M123,0,NETWORKDAYS(M123,IF($S$5&gt;N123,N123,$S$5),holiday!B$4:B$20))))</f>
        <v>0</v>
      </c>
      <c r="S123" s="244"/>
      <c r="T123" s="244"/>
      <c r="U123" s="219">
        <v>0</v>
      </c>
      <c r="V123" s="99">
        <v>0.2</v>
      </c>
      <c r="W123" s="81">
        <f t="shared" si="46"/>
        <v>0</v>
      </c>
      <c r="X123" s="82">
        <f t="shared" si="47"/>
        <v>0</v>
      </c>
      <c r="Y123" s="83" t="str">
        <f>IF(N123-$S$5&lt;=0,0,CONCATENATE(NETWORKDAYS($S$5,N123,holiday!$B$4:$B$20)))</f>
        <v>165</v>
      </c>
      <c r="Z123" s="84">
        <f t="shared" si="48"/>
        <v>0</v>
      </c>
      <c r="AA123" s="85"/>
      <c r="AB123" s="228"/>
    </row>
    <row r="124" spans="1:28" s="212" customFormat="1" ht="30" customHeight="1" outlineLevel="1" x14ac:dyDescent="0.3">
      <c r="A124" s="96"/>
      <c r="B124" s="40">
        <v>122</v>
      </c>
      <c r="C124" s="76" t="s">
        <v>441</v>
      </c>
      <c r="D124" s="83">
        <v>5</v>
      </c>
      <c r="E124" s="78"/>
      <c r="F124" s="177"/>
      <c r="G124" s="177"/>
      <c r="H124" s="79"/>
      <c r="I124" s="79"/>
      <c r="J124" s="79" t="s">
        <v>373</v>
      </c>
      <c r="K124" s="79"/>
      <c r="L124" s="77" t="str">
        <f>CONCATENATE(NETWORKDAYS(M124,N124,holiday!B$4:B$20),"일")</f>
        <v>136일</v>
      </c>
      <c r="M124" s="106">
        <v>46162</v>
      </c>
      <c r="N124" s="106">
        <v>46357</v>
      </c>
      <c r="O124" s="107" t="s">
        <v>68</v>
      </c>
      <c r="P124" s="107" t="s">
        <v>183</v>
      </c>
      <c r="Q124" s="107" t="s">
        <v>405</v>
      </c>
      <c r="R124" s="80">
        <f>IF(COUNTBLANK(M124:N124)&gt;0,0,1/NETWORKDAYS(M124,N124,holiday!B$4:B$20)*(IF($S$5&lt;=M124,0,NETWORKDAYS(M124,IF($S$5&gt;N124,N124,$S$5),holiday!B$4:B$20))))</f>
        <v>0</v>
      </c>
      <c r="S124" s="244"/>
      <c r="T124" s="244"/>
      <c r="U124" s="219">
        <v>0</v>
      </c>
      <c r="V124" s="99">
        <v>0.2</v>
      </c>
      <c r="W124" s="81">
        <f t="shared" si="46"/>
        <v>0</v>
      </c>
      <c r="X124" s="82">
        <f t="shared" si="47"/>
        <v>0</v>
      </c>
      <c r="Y124" s="83" t="str">
        <f>IF(N124-$S$5&lt;=0,0,CONCATENATE(NETWORKDAYS($S$5,N124,holiday!$B$4:$B$20)))</f>
        <v>165</v>
      </c>
      <c r="Z124" s="84">
        <f t="shared" si="48"/>
        <v>0</v>
      </c>
      <c r="AA124" s="85"/>
      <c r="AB124" s="228"/>
    </row>
    <row r="125" spans="1:28" s="212" customFormat="1" ht="30" customHeight="1" outlineLevel="1" x14ac:dyDescent="0.3">
      <c r="A125" s="96"/>
      <c r="B125" s="40">
        <v>123</v>
      </c>
      <c r="C125" s="76" t="s">
        <v>273</v>
      </c>
      <c r="D125" s="83">
        <v>3</v>
      </c>
      <c r="E125" s="78"/>
      <c r="F125" s="177"/>
      <c r="G125" s="177"/>
      <c r="H125" s="233" t="s">
        <v>98</v>
      </c>
      <c r="I125" s="79"/>
      <c r="J125" s="79"/>
      <c r="K125" s="79"/>
      <c r="L125" s="77" t="str">
        <f>CONCATENATE(NETWORKDAYS(M125,N125,holiday!B$4:B$20),"일")</f>
        <v>31일</v>
      </c>
      <c r="M125" s="106">
        <f>MIN(M126,M128)</f>
        <v>46101</v>
      </c>
      <c r="N125" s="106">
        <f>MAX(N126,N128)</f>
        <v>46143</v>
      </c>
      <c r="O125" s="107" t="s">
        <v>68</v>
      </c>
      <c r="P125" s="107" t="s">
        <v>183</v>
      </c>
      <c r="Q125" s="107" t="s">
        <v>405</v>
      </c>
      <c r="R125" s="80">
        <f>SUM(W126,W128)</f>
        <v>0.45161290322580638</v>
      </c>
      <c r="S125" s="244"/>
      <c r="T125" s="244"/>
      <c r="U125" s="219">
        <f>SUM(X126,X128)</f>
        <v>0</v>
      </c>
      <c r="V125" s="99">
        <v>0.2</v>
      </c>
      <c r="W125" s="81">
        <f t="shared" si="46"/>
        <v>9.0322580645161285E-2</v>
      </c>
      <c r="X125" s="82">
        <f t="shared" si="47"/>
        <v>0</v>
      </c>
      <c r="Y125" s="83" t="str">
        <f>IF(N125-$S$5&lt;=0,0,CONCATENATE(NETWORKDAYS($S$5,N125,holiday!$B$4:$B$20)))</f>
        <v>18</v>
      </c>
      <c r="Z125" s="84">
        <f t="shared" si="48"/>
        <v>-0.45161290322580638</v>
      </c>
      <c r="AA125" s="224"/>
      <c r="AB125" s="228"/>
    </row>
    <row r="126" spans="1:28" s="212" customFormat="1" ht="30" customHeight="1" outlineLevel="1" x14ac:dyDescent="0.3">
      <c r="A126" s="96"/>
      <c r="B126" s="40">
        <v>124</v>
      </c>
      <c r="C126" s="76" t="s">
        <v>274</v>
      </c>
      <c r="D126" s="83">
        <v>4</v>
      </c>
      <c r="E126" s="78"/>
      <c r="F126" s="177"/>
      <c r="G126" s="177"/>
      <c r="H126" s="79"/>
      <c r="I126" s="79" t="s">
        <v>127</v>
      </c>
      <c r="J126" s="79"/>
      <c r="K126" s="79"/>
      <c r="L126" s="77" t="str">
        <f>CONCATENATE(NETWORKDAYS(M126,N126,holiday!B$4:B$20),"일")</f>
        <v>31일</v>
      </c>
      <c r="M126" s="106">
        <f>MIN(M127)</f>
        <v>46101</v>
      </c>
      <c r="N126" s="106">
        <f>MAX(N127)</f>
        <v>46143</v>
      </c>
      <c r="O126" s="107" t="s">
        <v>68</v>
      </c>
      <c r="P126" s="107" t="s">
        <v>183</v>
      </c>
      <c r="Q126" s="107" t="s">
        <v>405</v>
      </c>
      <c r="R126" s="80">
        <f>SUM(W127)</f>
        <v>0.45161290322580644</v>
      </c>
      <c r="S126" s="244"/>
      <c r="T126" s="244"/>
      <c r="U126" s="219">
        <f>SUM(X127)</f>
        <v>0</v>
      </c>
      <c r="V126" s="99">
        <v>0.5</v>
      </c>
      <c r="W126" s="81">
        <f t="shared" si="46"/>
        <v>0.22580645161290322</v>
      </c>
      <c r="X126" s="82">
        <f t="shared" si="47"/>
        <v>0</v>
      </c>
      <c r="Y126" s="83" t="str">
        <f>IF(N126-$S$5&lt;=0,0,CONCATENATE(NETWORKDAYS($S$5,N126,holiday!$B$4:$B$20)))</f>
        <v>18</v>
      </c>
      <c r="Z126" s="84">
        <f t="shared" si="48"/>
        <v>-0.45161290322580644</v>
      </c>
      <c r="AA126" s="224"/>
      <c r="AB126" s="228"/>
    </row>
    <row r="127" spans="1:28" s="212" customFormat="1" ht="30" customHeight="1" outlineLevel="1" x14ac:dyDescent="0.3">
      <c r="A127" s="96"/>
      <c r="B127" s="40">
        <v>125</v>
      </c>
      <c r="C127" s="76" t="s">
        <v>442</v>
      </c>
      <c r="D127" s="83">
        <v>5</v>
      </c>
      <c r="E127" s="78"/>
      <c r="F127" s="177"/>
      <c r="G127" s="177"/>
      <c r="H127" s="79"/>
      <c r="I127" s="79"/>
      <c r="J127" s="79" t="s">
        <v>420</v>
      </c>
      <c r="K127" s="79"/>
      <c r="L127" s="77" t="str">
        <f>CONCATENATE(NETWORKDAYS(M127,N127,holiday!B$4:B$20),"일")</f>
        <v>31일</v>
      </c>
      <c r="M127" s="106">
        <v>46101</v>
      </c>
      <c r="N127" s="106">
        <v>46143</v>
      </c>
      <c r="O127" s="107" t="s">
        <v>68</v>
      </c>
      <c r="P127" s="107" t="s">
        <v>183</v>
      </c>
      <c r="Q127" s="107" t="s">
        <v>405</v>
      </c>
      <c r="R127" s="80">
        <f>IF(COUNTBLANK(M127:N127)&gt;0,0,1/NETWORKDAYS(M127,N127,holiday!B$4:B$20)*(IF($S$5&lt;=M127,0,NETWORKDAYS(M127,IF($S$5&gt;N127,N127,$S$5),holiday!B$4:B$20))))</f>
        <v>0.45161290322580644</v>
      </c>
      <c r="S127" s="244"/>
      <c r="T127" s="244"/>
      <c r="U127" s="219">
        <v>0</v>
      </c>
      <c r="V127" s="99">
        <v>1</v>
      </c>
      <c r="W127" s="81">
        <f t="shared" si="46"/>
        <v>0.45161290322580644</v>
      </c>
      <c r="X127" s="82">
        <f t="shared" si="47"/>
        <v>0</v>
      </c>
      <c r="Y127" s="83" t="str">
        <f>IF(N127-$S$5&lt;=0,0,CONCATENATE(NETWORKDAYS($S$5,N127,holiday!$B$4:$B$20)))</f>
        <v>18</v>
      </c>
      <c r="Z127" s="84">
        <f t="shared" si="48"/>
        <v>-0.45161290322580644</v>
      </c>
      <c r="AA127" s="224"/>
      <c r="AB127" s="228"/>
    </row>
    <row r="128" spans="1:28" s="212" customFormat="1" ht="30" customHeight="1" outlineLevel="1" x14ac:dyDescent="0.3">
      <c r="A128" s="96"/>
      <c r="B128" s="40">
        <v>126</v>
      </c>
      <c r="C128" s="76" t="s">
        <v>275</v>
      </c>
      <c r="D128" s="83">
        <v>4</v>
      </c>
      <c r="E128" s="78"/>
      <c r="F128" s="177"/>
      <c r="G128" s="177"/>
      <c r="H128" s="79"/>
      <c r="I128" s="79" t="s">
        <v>128</v>
      </c>
      <c r="J128" s="79"/>
      <c r="K128" s="79"/>
      <c r="L128" s="77" t="str">
        <f>CONCATENATE(NETWORKDAYS(M128,N128,holiday!B$4:B$20),"일")</f>
        <v>31일</v>
      </c>
      <c r="M128" s="106">
        <f>MIN(M129,M130,M131)</f>
        <v>46101</v>
      </c>
      <c r="N128" s="106">
        <f>MAX(N129,N130,N131)</f>
        <v>46143</v>
      </c>
      <c r="O128" s="107" t="s">
        <v>68</v>
      </c>
      <c r="P128" s="107" t="s">
        <v>183</v>
      </c>
      <c r="Q128" s="107" t="s">
        <v>405</v>
      </c>
      <c r="R128" s="80">
        <f>SUM(W129:W131)</f>
        <v>0.45161290322580638</v>
      </c>
      <c r="S128" s="244"/>
      <c r="T128" s="244"/>
      <c r="U128" s="219">
        <f>SUM(X129:X131)</f>
        <v>0</v>
      </c>
      <c r="V128" s="99">
        <v>0.5</v>
      </c>
      <c r="W128" s="81">
        <f t="shared" ref="W128:W159" si="49">R128*V128</f>
        <v>0.22580645161290319</v>
      </c>
      <c r="X128" s="82">
        <f t="shared" si="47"/>
        <v>0</v>
      </c>
      <c r="Y128" s="83" t="str">
        <f>IF(N128-$S$5&lt;=0,0,CONCATENATE(NETWORKDAYS($S$5,N128,holiday!$B$4:$B$20)))</f>
        <v>18</v>
      </c>
      <c r="Z128" s="84">
        <f t="shared" si="48"/>
        <v>-0.45161290322580638</v>
      </c>
      <c r="AA128" s="224"/>
      <c r="AB128" s="228"/>
    </row>
    <row r="129" spans="1:28" s="212" customFormat="1" ht="30" customHeight="1" outlineLevel="1" x14ac:dyDescent="0.3">
      <c r="A129" s="96"/>
      <c r="B129" s="40">
        <v>127</v>
      </c>
      <c r="C129" s="76" t="s">
        <v>443</v>
      </c>
      <c r="D129" s="83">
        <v>5</v>
      </c>
      <c r="E129" s="78"/>
      <c r="F129" s="177"/>
      <c r="G129" s="177"/>
      <c r="H129" s="79"/>
      <c r="I129" s="79"/>
      <c r="J129" s="79" t="s">
        <v>374</v>
      </c>
      <c r="K129" s="79"/>
      <c r="L129" s="77" t="str">
        <f>CONCATENATE(NETWORKDAYS(M129,N129,holiday!B$4:B$20),"일")</f>
        <v>31일</v>
      </c>
      <c r="M129" s="106">
        <v>46101</v>
      </c>
      <c r="N129" s="106">
        <v>46143</v>
      </c>
      <c r="O129" s="107" t="s">
        <v>68</v>
      </c>
      <c r="P129" s="107" t="s">
        <v>183</v>
      </c>
      <c r="Q129" s="107" t="s">
        <v>405</v>
      </c>
      <c r="R129" s="80">
        <f>IF(COUNTBLANK(M129:N129)&gt;0,0,1/NETWORKDAYS(M129,N129,holiday!B$4:B$20)*(IF($S$5&lt;=M129,0,NETWORKDAYS(M129,IF($S$5&gt;N129,N129,$S$5),holiday!B$4:B$20))))</f>
        <v>0.45161290322580644</v>
      </c>
      <c r="S129" s="244"/>
      <c r="T129" s="244"/>
      <c r="U129" s="219">
        <v>0</v>
      </c>
      <c r="V129" s="99">
        <v>0.35</v>
      </c>
      <c r="W129" s="81">
        <f t="shared" si="49"/>
        <v>0.15806451612903225</v>
      </c>
      <c r="X129" s="82">
        <f t="shared" si="47"/>
        <v>0</v>
      </c>
      <c r="Y129" s="83" t="str">
        <f>IF(N129-$S$5&lt;=0,0,CONCATENATE(NETWORKDAYS($S$5,N129,holiday!$B$4:$B$20)))</f>
        <v>18</v>
      </c>
      <c r="Z129" s="84">
        <f t="shared" si="48"/>
        <v>-0.45161290322580644</v>
      </c>
      <c r="AA129" s="224"/>
      <c r="AB129" s="228"/>
    </row>
    <row r="130" spans="1:28" s="212" customFormat="1" ht="30" customHeight="1" outlineLevel="1" x14ac:dyDescent="0.3">
      <c r="A130" s="96"/>
      <c r="B130" s="40">
        <v>128</v>
      </c>
      <c r="C130" s="76" t="s">
        <v>444</v>
      </c>
      <c r="D130" s="83">
        <v>5</v>
      </c>
      <c r="E130" s="78"/>
      <c r="F130" s="177"/>
      <c r="G130" s="177"/>
      <c r="H130" s="79"/>
      <c r="I130" s="79"/>
      <c r="J130" s="79" t="s">
        <v>421</v>
      </c>
      <c r="K130" s="79"/>
      <c r="L130" s="77" t="str">
        <f>CONCATENATE(NETWORKDAYS(M130,N130,holiday!B$4:B$20),"일")</f>
        <v>31일</v>
      </c>
      <c r="M130" s="106">
        <v>46101</v>
      </c>
      <c r="N130" s="106">
        <v>46143</v>
      </c>
      <c r="O130" s="107" t="s">
        <v>68</v>
      </c>
      <c r="P130" s="107" t="s">
        <v>183</v>
      </c>
      <c r="Q130" s="107" t="s">
        <v>405</v>
      </c>
      <c r="R130" s="80">
        <f>IF(COUNTBLANK(M130:N130)&gt;0,0,1/NETWORKDAYS(M130,N130,holiday!B$4:B$20)*(IF($S$5&lt;=M130,0,NETWORKDAYS(M130,IF($S$5&gt;N130,N130,$S$5),holiday!B$4:B$20))))</f>
        <v>0.45161290322580644</v>
      </c>
      <c r="S130" s="244"/>
      <c r="T130" s="244"/>
      <c r="U130" s="219">
        <v>0</v>
      </c>
      <c r="V130" s="99">
        <v>0.35</v>
      </c>
      <c r="W130" s="81">
        <f t="shared" si="49"/>
        <v>0.15806451612903225</v>
      </c>
      <c r="X130" s="82">
        <f t="shared" si="47"/>
        <v>0</v>
      </c>
      <c r="Y130" s="83" t="str">
        <f>IF(N130-$S$5&lt;=0,0,CONCATENATE(NETWORKDAYS($S$5,N130,holiday!$B$4:$B$20)))</f>
        <v>18</v>
      </c>
      <c r="Z130" s="84">
        <f t="shared" si="48"/>
        <v>-0.45161290322580644</v>
      </c>
      <c r="AA130" s="224"/>
      <c r="AB130" s="228"/>
    </row>
    <row r="131" spans="1:28" s="212" customFormat="1" ht="30" customHeight="1" outlineLevel="1" x14ac:dyDescent="0.3">
      <c r="A131" s="96"/>
      <c r="B131" s="40">
        <v>129</v>
      </c>
      <c r="C131" s="76" t="s">
        <v>445</v>
      </c>
      <c r="D131" s="83">
        <v>5</v>
      </c>
      <c r="E131" s="78"/>
      <c r="F131" s="177"/>
      <c r="G131" s="177"/>
      <c r="H131" s="79"/>
      <c r="I131" s="79"/>
      <c r="J131" s="79" t="s">
        <v>375</v>
      </c>
      <c r="K131" s="79"/>
      <c r="L131" s="77" t="str">
        <f>CONCATENATE(NETWORKDAYS(M131,N131,holiday!B$4:B$20),"일")</f>
        <v>31일</v>
      </c>
      <c r="M131" s="106">
        <v>46101</v>
      </c>
      <c r="N131" s="106">
        <v>46143</v>
      </c>
      <c r="O131" s="107" t="s">
        <v>68</v>
      </c>
      <c r="P131" s="107" t="s">
        <v>183</v>
      </c>
      <c r="Q131" s="107" t="s">
        <v>405</v>
      </c>
      <c r="R131" s="80">
        <f>IF(COUNTBLANK(M131:N131)&gt;0,0,1/NETWORKDAYS(M131,N131,holiday!B$4:B$20)*(IF($S$5&lt;=M131,0,NETWORKDAYS(M131,IF($S$5&gt;N131,N131,$S$5),holiday!B$4:B$20))))</f>
        <v>0.45161290322580644</v>
      </c>
      <c r="S131" s="244"/>
      <c r="T131" s="244"/>
      <c r="U131" s="219">
        <v>0</v>
      </c>
      <c r="V131" s="99">
        <v>0.3</v>
      </c>
      <c r="W131" s="81">
        <f t="shared" si="49"/>
        <v>0.13548387096774192</v>
      </c>
      <c r="X131" s="82">
        <f t="shared" si="47"/>
        <v>0</v>
      </c>
      <c r="Y131" s="83" t="str">
        <f>IF(N131-$S$5&lt;=0,0,CONCATENATE(NETWORKDAYS($S$5,N131,holiday!$B$4:$B$20)))</f>
        <v>18</v>
      </c>
      <c r="Z131" s="84">
        <f t="shared" si="48"/>
        <v>-0.45161290322580644</v>
      </c>
      <c r="AA131" s="224"/>
      <c r="AB131" s="228"/>
    </row>
    <row r="132" spans="1:28" s="212" customFormat="1" ht="30" customHeight="1" outlineLevel="1" x14ac:dyDescent="0.3">
      <c r="A132" s="96"/>
      <c r="B132" s="40">
        <v>130</v>
      </c>
      <c r="C132" s="76" t="s">
        <v>276</v>
      </c>
      <c r="D132" s="83">
        <v>3</v>
      </c>
      <c r="E132" s="78"/>
      <c r="F132" s="177"/>
      <c r="G132" s="177"/>
      <c r="H132" s="233" t="s">
        <v>497</v>
      </c>
      <c r="I132" s="79"/>
      <c r="J132" s="79"/>
      <c r="K132" s="79"/>
      <c r="L132" s="77" t="str">
        <f>CONCATENATE(NETWORKDAYS(M132,N132,holiday!B$4:B$20),"일")</f>
        <v>136일</v>
      </c>
      <c r="M132" s="106">
        <f>MIN(M133,M137,M138,M139,M140)</f>
        <v>46162</v>
      </c>
      <c r="N132" s="106">
        <f>MAX(N133,N137,N138,N139,N140)</f>
        <v>46357</v>
      </c>
      <c r="O132" s="107" t="s">
        <v>68</v>
      </c>
      <c r="P132" s="107" t="s">
        <v>183</v>
      </c>
      <c r="Q132" s="107" t="s">
        <v>405</v>
      </c>
      <c r="R132" s="80">
        <f>SUM(W133,W137,W138,W139,W140)</f>
        <v>0</v>
      </c>
      <c r="S132" s="244"/>
      <c r="T132" s="244"/>
      <c r="U132" s="219">
        <f>SUM(X133,X137,X138,X139,X140)</f>
        <v>0</v>
      </c>
      <c r="V132" s="99">
        <v>0.2</v>
      </c>
      <c r="W132" s="81">
        <f t="shared" si="49"/>
        <v>0</v>
      </c>
      <c r="X132" s="82">
        <f t="shared" si="47"/>
        <v>0</v>
      </c>
      <c r="Y132" s="83" t="str">
        <f>IF(N132-$S$5&lt;=0,0,CONCATENATE(NETWORKDAYS($S$5,N132,holiday!$B$4:$B$20)))</f>
        <v>165</v>
      </c>
      <c r="Z132" s="84">
        <f t="shared" si="48"/>
        <v>0</v>
      </c>
      <c r="AA132" s="224"/>
      <c r="AB132" s="228"/>
    </row>
    <row r="133" spans="1:28" s="212" customFormat="1" ht="30" customHeight="1" outlineLevel="1" x14ac:dyDescent="0.3">
      <c r="A133" s="96"/>
      <c r="B133" s="40">
        <v>131</v>
      </c>
      <c r="C133" s="76" t="s">
        <v>277</v>
      </c>
      <c r="D133" s="83">
        <v>4</v>
      </c>
      <c r="E133" s="78"/>
      <c r="F133" s="177"/>
      <c r="G133" s="177"/>
      <c r="H133" s="79"/>
      <c r="I133" s="79" t="s">
        <v>396</v>
      </c>
      <c r="J133" s="79"/>
      <c r="K133" s="79"/>
      <c r="L133" s="77" t="str">
        <f>CONCATENATE(NETWORKDAYS(M133,N133,holiday!B$4:B$20),"일")</f>
        <v>136일</v>
      </c>
      <c r="M133" s="106">
        <f>MIN(M134,M135,M136)</f>
        <v>46162</v>
      </c>
      <c r="N133" s="106">
        <f>MAX(N134,N135,N136)</f>
        <v>46357</v>
      </c>
      <c r="O133" s="107" t="s">
        <v>68</v>
      </c>
      <c r="P133" s="107" t="s">
        <v>183</v>
      </c>
      <c r="Q133" s="107" t="s">
        <v>405</v>
      </c>
      <c r="R133" s="80">
        <f>SUM(W134:W136)</f>
        <v>0</v>
      </c>
      <c r="S133" s="244"/>
      <c r="T133" s="244"/>
      <c r="U133" s="219">
        <f>SUM(X134:X136)</f>
        <v>0</v>
      </c>
      <c r="V133" s="99">
        <v>1</v>
      </c>
      <c r="W133" s="81">
        <f t="shared" si="49"/>
        <v>0</v>
      </c>
      <c r="X133" s="82">
        <f t="shared" si="47"/>
        <v>0</v>
      </c>
      <c r="Y133" s="83" t="str">
        <f>IF(N133-$S$5&lt;=0,0,CONCATENATE(NETWORKDAYS($S$5,N133,holiday!$B$4:$B$20)))</f>
        <v>165</v>
      </c>
      <c r="Z133" s="84">
        <f t="shared" si="48"/>
        <v>0</v>
      </c>
      <c r="AA133" s="224"/>
      <c r="AB133" s="228"/>
    </row>
    <row r="134" spans="1:28" s="212" customFormat="1" ht="30" customHeight="1" outlineLevel="1" x14ac:dyDescent="0.3">
      <c r="A134" s="96"/>
      <c r="B134" s="40">
        <v>132</v>
      </c>
      <c r="C134" s="76" t="s">
        <v>446</v>
      </c>
      <c r="D134" s="83">
        <v>5</v>
      </c>
      <c r="E134" s="78"/>
      <c r="F134" s="177"/>
      <c r="G134" s="177"/>
      <c r="H134" s="79"/>
      <c r="I134" s="79"/>
      <c r="J134" s="79" t="s">
        <v>376</v>
      </c>
      <c r="K134" s="79"/>
      <c r="L134" s="77" t="str">
        <f>CONCATENATE(NETWORKDAYS(M134,N134,holiday!B$4:B$20),"일")</f>
        <v>136일</v>
      </c>
      <c r="M134" s="106">
        <v>46162</v>
      </c>
      <c r="N134" s="106">
        <v>46357</v>
      </c>
      <c r="O134" s="248" t="s">
        <v>68</v>
      </c>
      <c r="P134" s="107" t="s">
        <v>183</v>
      </c>
      <c r="Q134" s="107" t="s">
        <v>405</v>
      </c>
      <c r="R134" s="80">
        <f>IF(COUNTBLANK(M134:N134)&gt;0,0,1/NETWORKDAYS(M134,N134,holiday!B$4:B$20)*(IF($S$5&lt;=M134,0,NETWORKDAYS(M134,IF($S$5&gt;N134,N134,$S$5),holiday!B$4:B$20))))</f>
        <v>0</v>
      </c>
      <c r="S134" s="244"/>
      <c r="T134" s="244"/>
      <c r="U134" s="219">
        <v>0</v>
      </c>
      <c r="V134" s="99">
        <v>0.35</v>
      </c>
      <c r="W134" s="81">
        <f t="shared" si="49"/>
        <v>0</v>
      </c>
      <c r="X134" s="82">
        <f t="shared" si="47"/>
        <v>0</v>
      </c>
      <c r="Y134" s="83" t="str">
        <f>IF(N134-$S$5&lt;=0,0,CONCATENATE(NETWORKDAYS($S$5,N134,holiday!$B$4:$B$20)))</f>
        <v>165</v>
      </c>
      <c r="Z134" s="84">
        <f t="shared" si="48"/>
        <v>0</v>
      </c>
      <c r="AA134" s="224"/>
      <c r="AB134" s="228"/>
    </row>
    <row r="135" spans="1:28" s="212" customFormat="1" ht="30" customHeight="1" outlineLevel="1" x14ac:dyDescent="0.3">
      <c r="A135" s="96"/>
      <c r="B135" s="40">
        <v>133</v>
      </c>
      <c r="C135" s="76" t="s">
        <v>447</v>
      </c>
      <c r="D135" s="83">
        <v>5</v>
      </c>
      <c r="E135" s="78"/>
      <c r="F135" s="177"/>
      <c r="G135" s="177"/>
      <c r="H135" s="79"/>
      <c r="I135" s="79"/>
      <c r="J135" s="79" t="s">
        <v>377</v>
      </c>
      <c r="K135" s="79"/>
      <c r="L135" s="77" t="str">
        <f>CONCATENATE(NETWORKDAYS(M135,N135,holiday!B$4:B$20),"일")</f>
        <v>136일</v>
      </c>
      <c r="M135" s="106">
        <v>46162</v>
      </c>
      <c r="N135" s="106">
        <v>46357</v>
      </c>
      <c r="O135" s="248" t="s">
        <v>68</v>
      </c>
      <c r="P135" s="107" t="s">
        <v>183</v>
      </c>
      <c r="Q135" s="107" t="s">
        <v>405</v>
      </c>
      <c r="R135" s="80">
        <f>IF(COUNTBLANK(M135:N135)&gt;0,0,1/NETWORKDAYS(M135,N135,holiday!B$4:B$20)*(IF($S$5&lt;=M135,0,NETWORKDAYS(M135,IF($S$5&gt;N135,N135,$S$5),holiday!B$4:B$20))))</f>
        <v>0</v>
      </c>
      <c r="S135" s="244"/>
      <c r="T135" s="244"/>
      <c r="U135" s="219">
        <v>0</v>
      </c>
      <c r="V135" s="99">
        <v>0.35</v>
      </c>
      <c r="W135" s="81">
        <f t="shared" si="49"/>
        <v>0</v>
      </c>
      <c r="X135" s="82">
        <f t="shared" si="47"/>
        <v>0</v>
      </c>
      <c r="Y135" s="83" t="str">
        <f>IF(N135-$S$5&lt;=0,0,CONCATENATE(NETWORKDAYS($S$5,N135,holiday!$B$4:$B$20)))</f>
        <v>165</v>
      </c>
      <c r="Z135" s="84">
        <f t="shared" si="48"/>
        <v>0</v>
      </c>
      <c r="AA135" s="224"/>
      <c r="AB135" s="228"/>
    </row>
    <row r="136" spans="1:28" s="212" customFormat="1" ht="30" customHeight="1" outlineLevel="1" x14ac:dyDescent="0.3">
      <c r="A136" s="96"/>
      <c r="B136" s="40">
        <v>134</v>
      </c>
      <c r="C136" s="76" t="s">
        <v>448</v>
      </c>
      <c r="D136" s="83">
        <v>5</v>
      </c>
      <c r="E136" s="78"/>
      <c r="F136" s="177"/>
      <c r="G136" s="177"/>
      <c r="H136" s="79"/>
      <c r="I136" s="79"/>
      <c r="J136" s="79" t="s">
        <v>378</v>
      </c>
      <c r="K136" s="79"/>
      <c r="L136" s="77" t="str">
        <f>CONCATENATE(NETWORKDAYS(M136,N136,holiday!B$4:B$20),"일")</f>
        <v>136일</v>
      </c>
      <c r="M136" s="106">
        <v>46162</v>
      </c>
      <c r="N136" s="106">
        <v>46357</v>
      </c>
      <c r="O136" s="248" t="s">
        <v>68</v>
      </c>
      <c r="P136" s="107" t="s">
        <v>183</v>
      </c>
      <c r="Q136" s="107" t="s">
        <v>405</v>
      </c>
      <c r="R136" s="80">
        <f>IF(COUNTBLANK(M136:N136)&gt;0,0,1/NETWORKDAYS(M136,N136,holiday!B$4:B$20)*(IF($S$5&lt;=M136,0,NETWORKDAYS(M136,IF($S$5&gt;N136,N136,$S$5),holiday!B$4:B$20))))</f>
        <v>0</v>
      </c>
      <c r="S136" s="244"/>
      <c r="T136" s="244"/>
      <c r="U136" s="219">
        <v>0</v>
      </c>
      <c r="V136" s="99">
        <v>0.3</v>
      </c>
      <c r="W136" s="81">
        <f t="shared" si="49"/>
        <v>0</v>
      </c>
      <c r="X136" s="82">
        <f t="shared" si="47"/>
        <v>0</v>
      </c>
      <c r="Y136" s="83" t="str">
        <f>IF(N136-$S$5&lt;=0,0,CONCATENATE(NETWORKDAYS($S$5,N136,holiday!$B$4:$B$20)))</f>
        <v>165</v>
      </c>
      <c r="Z136" s="84">
        <f t="shared" si="48"/>
        <v>0</v>
      </c>
      <c r="AA136" s="224"/>
      <c r="AB136" s="228"/>
    </row>
    <row r="137" spans="1:28" s="212" customFormat="1" ht="30" customHeight="1" outlineLevel="1" x14ac:dyDescent="0.3">
      <c r="A137" s="96"/>
      <c r="B137" s="40">
        <v>135</v>
      </c>
      <c r="C137" s="76" t="s">
        <v>449</v>
      </c>
      <c r="D137" s="83">
        <v>4</v>
      </c>
      <c r="E137" s="78"/>
      <c r="F137" s="177"/>
      <c r="G137" s="177"/>
      <c r="H137" s="79"/>
      <c r="I137" s="79" t="s">
        <v>379</v>
      </c>
      <c r="J137" s="79"/>
      <c r="K137" s="79"/>
      <c r="L137" s="77" t="str">
        <f>CONCATENATE(NETWORKDAYS(M137,N137,holiday!B$4:B$20),"일")</f>
        <v>136일</v>
      </c>
      <c r="M137" s="106">
        <v>46162</v>
      </c>
      <c r="N137" s="106">
        <v>46357</v>
      </c>
      <c r="O137" s="248" t="s">
        <v>68</v>
      </c>
      <c r="P137" s="107" t="s">
        <v>183</v>
      </c>
      <c r="Q137" s="107" t="s">
        <v>405</v>
      </c>
      <c r="R137" s="80">
        <f>IF(COUNTBLANK(M137:N137)&gt;0,0,1/NETWORKDAYS(M137,N137,holiday!B$4:B$20)*(IF($S$5&lt;=M137,0,NETWORKDAYS(M137,IF($S$5&gt;N137,N137,$S$5),holiday!B$4:B$20))))</f>
        <v>0</v>
      </c>
      <c r="S137" s="244"/>
      <c r="T137" s="244"/>
      <c r="U137" s="219">
        <v>0</v>
      </c>
      <c r="V137" s="99">
        <v>0.2</v>
      </c>
      <c r="W137" s="81">
        <f t="shared" si="49"/>
        <v>0</v>
      </c>
      <c r="X137" s="82">
        <f t="shared" si="47"/>
        <v>0</v>
      </c>
      <c r="Y137" s="83" t="str">
        <f>IF(N137-$S$5&lt;=0,0,CONCATENATE(NETWORKDAYS($S$5,N137,holiday!$B$4:$B$20)))</f>
        <v>165</v>
      </c>
      <c r="Z137" s="84">
        <f t="shared" si="48"/>
        <v>0</v>
      </c>
      <c r="AA137" s="224"/>
      <c r="AB137" s="228"/>
    </row>
    <row r="138" spans="1:28" s="212" customFormat="1" ht="30" customHeight="1" outlineLevel="1" x14ac:dyDescent="0.3">
      <c r="A138" s="96"/>
      <c r="B138" s="40">
        <v>136</v>
      </c>
      <c r="C138" s="76" t="s">
        <v>450</v>
      </c>
      <c r="D138" s="83">
        <v>4</v>
      </c>
      <c r="E138" s="78"/>
      <c r="F138" s="177"/>
      <c r="G138" s="177"/>
      <c r="H138" s="79"/>
      <c r="I138" s="79" t="s">
        <v>380</v>
      </c>
      <c r="J138" s="79"/>
      <c r="K138" s="79"/>
      <c r="L138" s="77" t="str">
        <f>CONCATENATE(NETWORKDAYS(M138,N138,holiday!B$4:B$20),"일")</f>
        <v>136일</v>
      </c>
      <c r="M138" s="106">
        <v>46162</v>
      </c>
      <c r="N138" s="106">
        <v>46357</v>
      </c>
      <c r="O138" s="248" t="s">
        <v>68</v>
      </c>
      <c r="P138" s="107" t="s">
        <v>183</v>
      </c>
      <c r="Q138" s="107" t="s">
        <v>405</v>
      </c>
      <c r="R138" s="80">
        <f>IF(COUNTBLANK(M138:N138)&gt;0,0,1/NETWORKDAYS(M138,N138,holiday!B$4:B$20)*(IF($S$5&lt;=M138,0,NETWORKDAYS(M138,IF($S$5&gt;N138,N138,$S$5),holiday!B$4:B$20))))</f>
        <v>0</v>
      </c>
      <c r="S138" s="244"/>
      <c r="T138" s="244"/>
      <c r="U138" s="219">
        <v>0</v>
      </c>
      <c r="V138" s="99">
        <v>0.2</v>
      </c>
      <c r="W138" s="81">
        <f t="shared" si="49"/>
        <v>0</v>
      </c>
      <c r="X138" s="82">
        <f t="shared" si="47"/>
        <v>0</v>
      </c>
      <c r="Y138" s="83" t="str">
        <f>IF(N138-$S$5&lt;=0,0,CONCATENATE(NETWORKDAYS($S$5,N138,holiday!$B$4:$B$20)))</f>
        <v>165</v>
      </c>
      <c r="Z138" s="84">
        <f t="shared" si="48"/>
        <v>0</v>
      </c>
      <c r="AA138" s="224"/>
      <c r="AB138" s="228"/>
    </row>
    <row r="139" spans="1:28" s="212" customFormat="1" ht="30" customHeight="1" outlineLevel="1" x14ac:dyDescent="0.3">
      <c r="A139" s="96"/>
      <c r="B139" s="40">
        <v>137</v>
      </c>
      <c r="C139" s="76" t="s">
        <v>451</v>
      </c>
      <c r="D139" s="83">
        <v>4</v>
      </c>
      <c r="E139" s="78"/>
      <c r="F139" s="177"/>
      <c r="G139" s="177"/>
      <c r="H139" s="79"/>
      <c r="I139" s="79" t="s">
        <v>381</v>
      </c>
      <c r="J139" s="79"/>
      <c r="K139" s="79"/>
      <c r="L139" s="77" t="str">
        <f>CONCATENATE(NETWORKDAYS(M139,N139,holiday!B$4:B$20),"일")</f>
        <v>136일</v>
      </c>
      <c r="M139" s="106">
        <v>46162</v>
      </c>
      <c r="N139" s="106">
        <v>46357</v>
      </c>
      <c r="O139" s="248" t="s">
        <v>68</v>
      </c>
      <c r="P139" s="107" t="s">
        <v>183</v>
      </c>
      <c r="Q139" s="107" t="s">
        <v>405</v>
      </c>
      <c r="R139" s="80">
        <f>IF(COUNTBLANK(M139:N139)&gt;0,0,1/NETWORKDAYS(M139,N139,holiday!B$4:B$20)*(IF($S$5&lt;=M139,0,NETWORKDAYS(M139,IF($S$5&gt;N139,N139,$S$5),holiday!B$4:B$20))))</f>
        <v>0</v>
      </c>
      <c r="S139" s="244"/>
      <c r="T139" s="244"/>
      <c r="U139" s="219">
        <v>0</v>
      </c>
      <c r="V139" s="99">
        <v>0.2</v>
      </c>
      <c r="W139" s="81">
        <f t="shared" si="49"/>
        <v>0</v>
      </c>
      <c r="X139" s="82">
        <f t="shared" si="47"/>
        <v>0</v>
      </c>
      <c r="Y139" s="83" t="str">
        <f>IF(N139-$S$5&lt;=0,0,CONCATENATE(NETWORKDAYS($S$5,N139,holiday!$B$4:$B$20)))</f>
        <v>165</v>
      </c>
      <c r="Z139" s="84">
        <f t="shared" si="48"/>
        <v>0</v>
      </c>
      <c r="AA139" s="224"/>
      <c r="AB139" s="228"/>
    </row>
    <row r="140" spans="1:28" s="212" customFormat="1" ht="30" customHeight="1" outlineLevel="1" x14ac:dyDescent="0.3">
      <c r="A140" s="96"/>
      <c r="B140" s="40">
        <v>138</v>
      </c>
      <c r="C140" s="76" t="s">
        <v>452</v>
      </c>
      <c r="D140" s="83">
        <v>4</v>
      </c>
      <c r="E140" s="78"/>
      <c r="F140" s="177"/>
      <c r="G140" s="177"/>
      <c r="H140" s="79"/>
      <c r="I140" s="79" t="s">
        <v>382</v>
      </c>
      <c r="J140" s="79"/>
      <c r="K140" s="79"/>
      <c r="L140" s="77" t="str">
        <f>CONCATENATE(NETWORKDAYS(M140,N140,holiday!B$4:B$20),"일")</f>
        <v>136일</v>
      </c>
      <c r="M140" s="106">
        <v>46162</v>
      </c>
      <c r="N140" s="106">
        <v>46357</v>
      </c>
      <c r="O140" s="248" t="s">
        <v>68</v>
      </c>
      <c r="P140" s="107" t="s">
        <v>183</v>
      </c>
      <c r="Q140" s="107" t="s">
        <v>405</v>
      </c>
      <c r="R140" s="80">
        <f>IF(COUNTBLANK(M140:N140)&gt;0,0,1/NETWORKDAYS(M140,N140,holiday!B$4:B$20)*(IF($S$5&lt;=M140,0,NETWORKDAYS(M140,IF($S$5&gt;N140,N140,$S$5),holiday!B$4:B$20))))</f>
        <v>0</v>
      </c>
      <c r="S140" s="244"/>
      <c r="T140" s="244"/>
      <c r="U140" s="219">
        <v>0</v>
      </c>
      <c r="V140" s="99">
        <v>0.2</v>
      </c>
      <c r="W140" s="81">
        <f t="shared" si="49"/>
        <v>0</v>
      </c>
      <c r="X140" s="82">
        <f t="shared" si="47"/>
        <v>0</v>
      </c>
      <c r="Y140" s="83" t="str">
        <f>IF(N140-$S$5&lt;=0,0,CONCATENATE(NETWORKDAYS($S$5,N140,holiday!$B$4:$B$20)))</f>
        <v>165</v>
      </c>
      <c r="Z140" s="84">
        <f t="shared" si="48"/>
        <v>0</v>
      </c>
      <c r="AA140" s="224"/>
      <c r="AB140" s="228"/>
    </row>
    <row r="141" spans="1:28" s="212" customFormat="1" ht="30" customHeight="1" outlineLevel="1" x14ac:dyDescent="0.3">
      <c r="A141" s="96"/>
      <c r="B141" s="40">
        <v>139</v>
      </c>
      <c r="C141" s="76" t="s">
        <v>453</v>
      </c>
      <c r="D141" s="83">
        <v>3</v>
      </c>
      <c r="E141" s="78"/>
      <c r="F141" s="177"/>
      <c r="G141" s="177"/>
      <c r="H141" s="233" t="s">
        <v>383</v>
      </c>
      <c r="I141" s="79"/>
      <c r="J141" s="79"/>
      <c r="K141" s="79"/>
      <c r="L141" s="77" t="str">
        <f>CONCATENATE(NETWORKDAYS(M141,N141,holiday!B$4:B$20),"일")</f>
        <v>156일</v>
      </c>
      <c r="M141" s="106">
        <f>MIN(M142,M143,M144,M145)</f>
        <v>46152</v>
      </c>
      <c r="N141" s="106">
        <f>MAX(N142,N143,N144,N145)</f>
        <v>46374</v>
      </c>
      <c r="O141" s="248" t="s">
        <v>68</v>
      </c>
      <c r="P141" s="107" t="s">
        <v>183</v>
      </c>
      <c r="Q141" s="107" t="s">
        <v>405</v>
      </c>
      <c r="R141" s="80">
        <f>SUM(W142:W145)</f>
        <v>0</v>
      </c>
      <c r="S141" s="244"/>
      <c r="T141" s="244"/>
      <c r="U141" s="219">
        <f>SUM(X142:X145)</f>
        <v>0</v>
      </c>
      <c r="V141" s="99">
        <v>0.15</v>
      </c>
      <c r="W141" s="81">
        <f t="shared" si="49"/>
        <v>0</v>
      </c>
      <c r="X141" s="82">
        <f t="shared" si="47"/>
        <v>0</v>
      </c>
      <c r="Y141" s="83" t="str">
        <f>IF(N141-$S$5&lt;=0,0,CONCATENATE(NETWORKDAYS($S$5,N141,holiday!$B$4:$B$20)))</f>
        <v>178</v>
      </c>
      <c r="Z141" s="84">
        <f t="shared" si="48"/>
        <v>0</v>
      </c>
      <c r="AA141" s="224"/>
      <c r="AB141" s="228"/>
    </row>
    <row r="142" spans="1:28" s="212" customFormat="1" ht="30" customHeight="1" outlineLevel="1" x14ac:dyDescent="0.3">
      <c r="A142" s="96"/>
      <c r="B142" s="40">
        <v>140</v>
      </c>
      <c r="C142" s="76" t="s">
        <v>454</v>
      </c>
      <c r="D142" s="83">
        <v>4</v>
      </c>
      <c r="E142" s="78"/>
      <c r="F142" s="177"/>
      <c r="G142" s="177"/>
      <c r="H142" s="79"/>
      <c r="I142" s="79" t="s">
        <v>410</v>
      </c>
      <c r="J142" s="79"/>
      <c r="K142" s="79"/>
      <c r="L142" s="77" t="str">
        <f>CONCATENATE(NETWORKDAYS(M142,N142,holiday!B$4:B$20),"일")</f>
        <v>5일</v>
      </c>
      <c r="M142" s="106">
        <v>46152</v>
      </c>
      <c r="N142" s="106">
        <v>46157</v>
      </c>
      <c r="O142" s="248" t="s">
        <v>68</v>
      </c>
      <c r="P142" s="107" t="s">
        <v>183</v>
      </c>
      <c r="Q142" s="107" t="s">
        <v>405</v>
      </c>
      <c r="R142" s="80">
        <f>IF(COUNTBLANK(M142:N142)&gt;0,0,1/NETWORKDAYS(M142,N142,holiday!B$4:B$20)*(IF($S$5&lt;=M142,0,NETWORKDAYS(M142,IF($S$5&gt;N142,N142,$S$5),holiday!B$4:B$20))))</f>
        <v>0</v>
      </c>
      <c r="S142" s="244"/>
      <c r="T142" s="244"/>
      <c r="U142" s="219">
        <v>0</v>
      </c>
      <c r="V142" s="99">
        <v>0.25</v>
      </c>
      <c r="W142" s="81">
        <f t="shared" si="49"/>
        <v>0</v>
      </c>
      <c r="X142" s="82">
        <f t="shared" si="47"/>
        <v>0</v>
      </c>
      <c r="Y142" s="83" t="str">
        <f>IF(N142-$S$5&lt;=0,0,CONCATENATE(NETWORKDAYS($S$5,N142,holiday!$B$4:$B$20)))</f>
        <v>27</v>
      </c>
      <c r="Z142" s="84">
        <f t="shared" si="48"/>
        <v>0</v>
      </c>
      <c r="AA142" s="224"/>
      <c r="AB142" s="228"/>
    </row>
    <row r="143" spans="1:28" s="212" customFormat="1" ht="30" customHeight="1" outlineLevel="1" x14ac:dyDescent="0.3">
      <c r="A143" s="96"/>
      <c r="B143" s="40">
        <v>141</v>
      </c>
      <c r="C143" s="76" t="s">
        <v>455</v>
      </c>
      <c r="D143" s="83">
        <v>4</v>
      </c>
      <c r="E143" s="78"/>
      <c r="F143" s="177"/>
      <c r="G143" s="177"/>
      <c r="H143" s="79"/>
      <c r="I143" s="79" t="s">
        <v>404</v>
      </c>
      <c r="J143" s="79"/>
      <c r="K143" s="79"/>
      <c r="L143" s="77" t="str">
        <f>CONCATENATE(NETWORKDAYS(M143,N143,holiday!B$4:B$20),"일")</f>
        <v>1일</v>
      </c>
      <c r="M143" s="106">
        <v>46160</v>
      </c>
      <c r="N143" s="106">
        <v>46160</v>
      </c>
      <c r="O143" s="248" t="s">
        <v>68</v>
      </c>
      <c r="P143" s="107" t="s">
        <v>183</v>
      </c>
      <c r="Q143" s="107" t="s">
        <v>405</v>
      </c>
      <c r="R143" s="80">
        <f>IF(COUNTBLANK(M143:N143)&gt;0,0,1/NETWORKDAYS(M143,N143,holiday!B$4:B$20)*(IF($S$5&lt;=M143,0,NETWORKDAYS(M143,IF($S$5&gt;N143,N143,$S$5),holiday!B$4:B$20))))</f>
        <v>0</v>
      </c>
      <c r="S143" s="244"/>
      <c r="T143" s="244"/>
      <c r="U143" s="219">
        <v>0</v>
      </c>
      <c r="V143" s="99">
        <v>0.25</v>
      </c>
      <c r="W143" s="81">
        <f t="shared" si="49"/>
        <v>0</v>
      </c>
      <c r="X143" s="82">
        <f t="shared" si="47"/>
        <v>0</v>
      </c>
      <c r="Y143" s="83" t="str">
        <f>IF(N143-$S$5&lt;=0,0,CONCATENATE(NETWORKDAYS($S$5,N143,holiday!$B$4:$B$20)))</f>
        <v>28</v>
      </c>
      <c r="Z143" s="84">
        <f t="shared" si="48"/>
        <v>0</v>
      </c>
      <c r="AA143" s="224"/>
      <c r="AB143" s="228"/>
    </row>
    <row r="144" spans="1:28" s="212" customFormat="1" ht="30" customHeight="1" outlineLevel="1" x14ac:dyDescent="0.3">
      <c r="A144" s="96"/>
      <c r="B144" s="40">
        <v>142</v>
      </c>
      <c r="C144" s="76" t="s">
        <v>456</v>
      </c>
      <c r="D144" s="83">
        <v>4</v>
      </c>
      <c r="E144" s="78"/>
      <c r="F144" s="177"/>
      <c r="G144" s="177"/>
      <c r="H144" s="79"/>
      <c r="I144" s="79" t="s">
        <v>411</v>
      </c>
      <c r="J144" s="79"/>
      <c r="K144" s="79"/>
      <c r="L144" s="77" t="str">
        <f>CONCATENATE(NETWORKDAYS(M144,N144,holiday!B$4:B$20),"일")</f>
        <v>4일</v>
      </c>
      <c r="M144" s="106">
        <v>46366</v>
      </c>
      <c r="N144" s="106">
        <v>46371</v>
      </c>
      <c r="O144" s="248" t="s">
        <v>68</v>
      </c>
      <c r="P144" s="107" t="s">
        <v>183</v>
      </c>
      <c r="Q144" s="107" t="s">
        <v>405</v>
      </c>
      <c r="R144" s="80">
        <f>IF(COUNTBLANK(M144:N144)&gt;0,0,1/NETWORKDAYS(M144,N144,holiday!B$4:B$20)*(IF($S$5&lt;=M144,0,NETWORKDAYS(M144,IF($S$5&gt;N144,N144,$S$5),holiday!B$4:B$20))))</f>
        <v>0</v>
      </c>
      <c r="S144" s="244"/>
      <c r="T144" s="244"/>
      <c r="U144" s="219">
        <v>0</v>
      </c>
      <c r="V144" s="99">
        <v>0.25</v>
      </c>
      <c r="W144" s="81">
        <f t="shared" si="49"/>
        <v>0</v>
      </c>
      <c r="X144" s="82">
        <f t="shared" si="47"/>
        <v>0</v>
      </c>
      <c r="Y144" s="83" t="str">
        <f>IF(N144-$S$5&lt;=0,0,CONCATENATE(NETWORKDAYS($S$5,N144,holiday!$B$4:$B$20)))</f>
        <v>175</v>
      </c>
      <c r="Z144" s="84">
        <f t="shared" si="48"/>
        <v>0</v>
      </c>
      <c r="AA144" s="224"/>
      <c r="AB144" s="228"/>
    </row>
    <row r="145" spans="1:28" s="212" customFormat="1" ht="30" customHeight="1" outlineLevel="1" x14ac:dyDescent="0.3">
      <c r="A145" s="96"/>
      <c r="B145" s="40">
        <v>143</v>
      </c>
      <c r="C145" s="76" t="s">
        <v>457</v>
      </c>
      <c r="D145" s="83">
        <v>4</v>
      </c>
      <c r="E145" s="78"/>
      <c r="F145" s="177"/>
      <c r="G145" s="177"/>
      <c r="H145" s="79"/>
      <c r="I145" s="79" t="s">
        <v>412</v>
      </c>
      <c r="J145" s="79"/>
      <c r="K145" s="79"/>
      <c r="L145" s="77" t="str">
        <f>CONCATENATE(NETWORKDAYS(M145,N145,holiday!B$4:B$20),"일")</f>
        <v>1일</v>
      </c>
      <c r="M145" s="106">
        <v>46374</v>
      </c>
      <c r="N145" s="106">
        <v>46374</v>
      </c>
      <c r="O145" s="248" t="s">
        <v>68</v>
      </c>
      <c r="P145" s="107" t="s">
        <v>183</v>
      </c>
      <c r="Q145" s="107" t="s">
        <v>405</v>
      </c>
      <c r="R145" s="80">
        <f>IF(COUNTBLANK(M145:N145)&gt;0,0,1/NETWORKDAYS(M145,N145,holiday!B$4:B$20)*(IF($S$5&lt;=M145,0,NETWORKDAYS(M145,IF($S$5&gt;N145,N145,$S$5),holiday!B$4:B$20))))</f>
        <v>0</v>
      </c>
      <c r="S145" s="244"/>
      <c r="T145" s="244"/>
      <c r="U145" s="219">
        <v>0</v>
      </c>
      <c r="V145" s="99">
        <v>0.25</v>
      </c>
      <c r="W145" s="81">
        <f t="shared" si="49"/>
        <v>0</v>
      </c>
      <c r="X145" s="82">
        <f t="shared" si="47"/>
        <v>0</v>
      </c>
      <c r="Y145" s="83" t="str">
        <f>IF(N145-$S$5&lt;=0,0,CONCATENATE(NETWORKDAYS($S$5,N145,holiday!$B$4:$B$20)))</f>
        <v>178</v>
      </c>
      <c r="Z145" s="84">
        <f t="shared" si="48"/>
        <v>0</v>
      </c>
      <c r="AA145" s="224"/>
      <c r="AB145" s="228"/>
    </row>
    <row r="146" spans="1:28" s="202" customFormat="1" ht="30" customHeight="1" outlineLevel="1" x14ac:dyDescent="0.3">
      <c r="A146" s="93"/>
      <c r="B146" s="40">
        <v>144</v>
      </c>
      <c r="C146" s="64" t="s">
        <v>20</v>
      </c>
      <c r="D146" s="72">
        <v>2</v>
      </c>
      <c r="E146" s="66"/>
      <c r="F146" s="190"/>
      <c r="G146" s="190" t="s">
        <v>7</v>
      </c>
      <c r="H146" s="67"/>
      <c r="I146" s="67"/>
      <c r="J146" s="67"/>
      <c r="K146" s="67"/>
      <c r="L146" s="65" t="str">
        <f>CONCATENATE(NETWORKDAYS(M146,N146,holiday!B$4:B$20),"일")</f>
        <v>169일</v>
      </c>
      <c r="M146" s="112">
        <f>MIN(M147)</f>
        <v>46113</v>
      </c>
      <c r="N146" s="112">
        <f>MAX(N147)</f>
        <v>46356</v>
      </c>
      <c r="O146" s="245" t="s">
        <v>68</v>
      </c>
      <c r="P146" s="113" t="s">
        <v>75</v>
      </c>
      <c r="Q146" s="113" t="s">
        <v>244</v>
      </c>
      <c r="R146" s="69">
        <f>SUM(W147)</f>
        <v>0.19304347826086957</v>
      </c>
      <c r="S146" s="191"/>
      <c r="T146" s="191"/>
      <c r="U146" s="69">
        <f>SUM(X147)</f>
        <v>0</v>
      </c>
      <c r="V146" s="100">
        <v>0.2</v>
      </c>
      <c r="W146" s="70">
        <f t="shared" si="49"/>
        <v>3.8608695652173917E-2</v>
      </c>
      <c r="X146" s="71">
        <f t="shared" si="47"/>
        <v>0</v>
      </c>
      <c r="Y146" s="72" t="str">
        <f>IF(N146-$S$5&lt;=0,0,CONCATENATE(NETWORKDAYS($S$5,N146,holiday!$B$4:$B$20)))</f>
        <v>164</v>
      </c>
      <c r="Z146" s="73">
        <f t="shared" si="48"/>
        <v>-0.19304347826086957</v>
      </c>
      <c r="AA146" s="74"/>
      <c r="AB146" s="121"/>
    </row>
    <row r="147" spans="1:28" s="212" customFormat="1" ht="30" customHeight="1" outlineLevel="1" x14ac:dyDescent="0.3">
      <c r="A147" s="96"/>
      <c r="B147" s="40">
        <v>145</v>
      </c>
      <c r="C147" s="76" t="s">
        <v>105</v>
      </c>
      <c r="D147" s="83">
        <v>3</v>
      </c>
      <c r="E147" s="78"/>
      <c r="F147" s="177"/>
      <c r="G147" s="177"/>
      <c r="H147" s="235" t="s">
        <v>99</v>
      </c>
      <c r="I147" s="79"/>
      <c r="J147" s="79"/>
      <c r="K147" s="79"/>
      <c r="L147" s="77" t="str">
        <f>CONCATENATE(NETWORKDAYS(M147,N147,holiday!B$4:B$20),"일")</f>
        <v>169일</v>
      </c>
      <c r="M147" s="306">
        <f>MIN(M148,M151,M154,M158,M162,M163)</f>
        <v>46113</v>
      </c>
      <c r="N147" s="306">
        <f>MAX(N148,N151,N154,N158,N162,N163)</f>
        <v>46356</v>
      </c>
      <c r="O147" s="107" t="s">
        <v>68</v>
      </c>
      <c r="P147" s="107" t="s">
        <v>75</v>
      </c>
      <c r="Q147" s="107" t="s">
        <v>244</v>
      </c>
      <c r="R147" s="80">
        <f>SUM(W148,W151,W154,W158,W162,W163)</f>
        <v>0.19304347826086957</v>
      </c>
      <c r="S147" s="244"/>
      <c r="T147" s="244"/>
      <c r="U147" s="219">
        <f>SUM(X148,X151,X154,X158,X162,X163)</f>
        <v>0</v>
      </c>
      <c r="V147" s="99">
        <v>1</v>
      </c>
      <c r="W147" s="81">
        <f t="shared" si="49"/>
        <v>0.19304347826086957</v>
      </c>
      <c r="X147" s="82">
        <f t="shared" si="47"/>
        <v>0</v>
      </c>
      <c r="Y147" s="83" t="str">
        <f>IF(N147-$S$5&lt;=0,0,CONCATENATE(NETWORKDAYS($S$5,N147,holiday!$B$4:$B$20)))</f>
        <v>164</v>
      </c>
      <c r="Z147" s="84">
        <f t="shared" si="48"/>
        <v>-0.19304347826086957</v>
      </c>
      <c r="AA147" s="85"/>
      <c r="AB147" s="228"/>
    </row>
    <row r="148" spans="1:28" s="212" customFormat="1" ht="30" customHeight="1" outlineLevel="1" x14ac:dyDescent="0.3">
      <c r="A148" s="96"/>
      <c r="B148" s="40">
        <v>146</v>
      </c>
      <c r="C148" s="76" t="s">
        <v>458</v>
      </c>
      <c r="D148" s="83">
        <v>4</v>
      </c>
      <c r="E148" s="78"/>
      <c r="F148" s="177"/>
      <c r="G148" s="177"/>
      <c r="H148" s="177"/>
      <c r="I148" s="79" t="s">
        <v>384</v>
      </c>
      <c r="J148" s="79"/>
      <c r="K148" s="79"/>
      <c r="L148" s="77" t="str">
        <f>CONCATENATE(NETWORKDAYS(M148,N148,holiday!B$4:B$20),"일")</f>
        <v>135일</v>
      </c>
      <c r="M148" s="306">
        <f>MIN(M149,M150)</f>
        <v>46162</v>
      </c>
      <c r="N148" s="306">
        <f>MAX(N149,N150)</f>
        <v>46356</v>
      </c>
      <c r="O148" s="107" t="s">
        <v>68</v>
      </c>
      <c r="P148" s="107" t="s">
        <v>75</v>
      </c>
      <c r="Q148" s="107" t="s">
        <v>202</v>
      </c>
      <c r="R148" s="80">
        <f>IF(COUNTBLANK(M148:N148)&gt;0,0,1/NETWORKDAYS(M148,N148,holiday!B$4:B$20)*(IF($S$5&lt;=M148,0,NETWORKDAYS(M148,IF($S$5&gt;N148,N148,$S$5),holiday!B$4:B$20))))</f>
        <v>0</v>
      </c>
      <c r="S148" s="244"/>
      <c r="T148" s="244"/>
      <c r="U148" s="219">
        <f>SUM(X149:X150)</f>
        <v>0</v>
      </c>
      <c r="V148" s="99">
        <v>0.1</v>
      </c>
      <c r="W148" s="81">
        <f t="shared" si="49"/>
        <v>0</v>
      </c>
      <c r="X148" s="82">
        <f t="shared" si="47"/>
        <v>0</v>
      </c>
      <c r="Y148" s="83" t="str">
        <f>IF(N148-$S$5&lt;=0,0,CONCATENATE(NETWORKDAYS($S$5,N148,holiday!$B$4:$B$20)))</f>
        <v>164</v>
      </c>
      <c r="Z148" s="84">
        <f t="shared" si="48"/>
        <v>0</v>
      </c>
      <c r="AA148" s="85"/>
      <c r="AB148" s="228"/>
    </row>
    <row r="149" spans="1:28" s="212" customFormat="1" ht="30" customHeight="1" outlineLevel="1" x14ac:dyDescent="0.3">
      <c r="A149" s="226"/>
      <c r="B149" s="40">
        <v>147</v>
      </c>
      <c r="C149" s="76" t="s">
        <v>510</v>
      </c>
      <c r="D149" s="83">
        <v>5</v>
      </c>
      <c r="E149" s="94"/>
      <c r="F149" s="108"/>
      <c r="G149" s="108"/>
      <c r="H149" s="109"/>
      <c r="I149" s="95"/>
      <c r="J149" s="95" t="s">
        <v>504</v>
      </c>
      <c r="K149" s="95"/>
      <c r="L149" s="77" t="str">
        <f>CONCATENATE(NETWORKDAYS(M149,N149,holiday!B$4:B$20),"일")</f>
        <v>135일</v>
      </c>
      <c r="M149" s="306">
        <v>46162</v>
      </c>
      <c r="N149" s="306">
        <v>46356</v>
      </c>
      <c r="O149" s="107" t="s">
        <v>68</v>
      </c>
      <c r="P149" s="107" t="s">
        <v>75</v>
      </c>
      <c r="Q149" s="107" t="s">
        <v>202</v>
      </c>
      <c r="R149" s="80">
        <f>IF(COUNTBLANK(M149:N149)&gt;0,0,1/NETWORKDAYS(M149,N149,holiday!B$4:B$20)*(IF($S$5&lt;=M149,0,NETWORKDAYS(M149,IF($S$5&gt;N149,N149,$S$5),holiday!B$4:B$20))))</f>
        <v>0</v>
      </c>
      <c r="S149" s="220"/>
      <c r="T149" s="220"/>
      <c r="U149" s="219">
        <v>0</v>
      </c>
      <c r="V149" s="99">
        <v>0.1</v>
      </c>
      <c r="W149" s="81">
        <f t="shared" ref="W149:W150" si="50">R149*V149</f>
        <v>0</v>
      </c>
      <c r="X149" s="82">
        <f t="shared" ref="X149:X150" si="51">U149*V149</f>
        <v>0</v>
      </c>
      <c r="Y149" s="83" t="str">
        <f>IF(N149-$S$5&lt;=0,0,CONCATENATE(NETWORKDAYS($S$5,N149,holiday!$B$4:$B$20)))</f>
        <v>164</v>
      </c>
      <c r="Z149" s="84">
        <f t="shared" ref="Z149:Z150" si="52">IF(SUM(W149:X149)&gt;0,(X149-W149)/V149,0)</f>
        <v>0</v>
      </c>
      <c r="AA149" s="85"/>
      <c r="AB149" s="228"/>
    </row>
    <row r="150" spans="1:28" s="212" customFormat="1" ht="30" customHeight="1" outlineLevel="1" x14ac:dyDescent="0.3">
      <c r="A150" s="226"/>
      <c r="B150" s="40">
        <v>148</v>
      </c>
      <c r="C150" s="76" t="s">
        <v>511</v>
      </c>
      <c r="D150" s="83">
        <v>5</v>
      </c>
      <c r="E150" s="94"/>
      <c r="F150" s="108"/>
      <c r="G150" s="108"/>
      <c r="H150" s="109"/>
      <c r="I150" s="95"/>
      <c r="J150" s="95" t="s">
        <v>505</v>
      </c>
      <c r="K150" s="95"/>
      <c r="L150" s="77" t="str">
        <f>CONCATENATE(NETWORKDAYS(M150,N150,holiday!B$4:B$20),"일")</f>
        <v>135일</v>
      </c>
      <c r="M150" s="306">
        <v>46162</v>
      </c>
      <c r="N150" s="306">
        <v>46356</v>
      </c>
      <c r="O150" s="107" t="s">
        <v>68</v>
      </c>
      <c r="P150" s="107" t="s">
        <v>75</v>
      </c>
      <c r="Q150" s="107" t="s">
        <v>202</v>
      </c>
      <c r="R150" s="80">
        <f>IF(COUNTBLANK(M150:N150)&gt;0,0,1/NETWORKDAYS(M150,N150,holiday!B$4:B$20)*(IF($S$5&lt;=M150,0,NETWORKDAYS(M150,IF($S$5&gt;N150,N150,$S$5),holiday!B$4:B$20))))</f>
        <v>0</v>
      </c>
      <c r="S150" s="220"/>
      <c r="T150" s="220"/>
      <c r="U150" s="219">
        <v>0</v>
      </c>
      <c r="V150" s="99">
        <v>0.1</v>
      </c>
      <c r="W150" s="81">
        <f t="shared" si="50"/>
        <v>0</v>
      </c>
      <c r="X150" s="82">
        <f t="shared" si="51"/>
        <v>0</v>
      </c>
      <c r="Y150" s="83" t="str">
        <f>IF(N150-$S$5&lt;=0,0,CONCATENATE(NETWORKDAYS($S$5,N150,holiday!$B$4:$B$20)))</f>
        <v>164</v>
      </c>
      <c r="Z150" s="84">
        <f t="shared" si="52"/>
        <v>0</v>
      </c>
      <c r="AA150" s="85"/>
      <c r="AB150" s="228"/>
    </row>
    <row r="151" spans="1:28" s="212" customFormat="1" ht="30" customHeight="1" outlineLevel="1" x14ac:dyDescent="0.3">
      <c r="A151" s="96"/>
      <c r="B151" s="40">
        <v>149</v>
      </c>
      <c r="C151" s="76" t="s">
        <v>107</v>
      </c>
      <c r="D151" s="83">
        <v>4</v>
      </c>
      <c r="E151" s="78"/>
      <c r="F151" s="177"/>
      <c r="G151" s="177"/>
      <c r="H151" s="177"/>
      <c r="I151" s="79" t="s">
        <v>5</v>
      </c>
      <c r="J151" s="79"/>
      <c r="K151" s="79"/>
      <c r="L151" s="77" t="str">
        <f>CONCATENATE(NETWORKDAYS(M151,N151,holiday!B$4:B$20),"일")</f>
        <v>23일</v>
      </c>
      <c r="M151" s="306">
        <f>MIN(M152,M153)</f>
        <v>46113</v>
      </c>
      <c r="N151" s="306">
        <f>MAX(N152,N153)</f>
        <v>46143</v>
      </c>
      <c r="O151" s="107" t="s">
        <v>68</v>
      </c>
      <c r="P151" s="107" t="s">
        <v>75</v>
      </c>
      <c r="Q151" s="107" t="s">
        <v>244</v>
      </c>
      <c r="R151" s="80">
        <f>SUM(W152:W153)</f>
        <v>0.18260869565217389</v>
      </c>
      <c r="S151" s="244"/>
      <c r="T151" s="244"/>
      <c r="U151" s="219">
        <f>SUM(X152:X153)</f>
        <v>0</v>
      </c>
      <c r="V151" s="99">
        <v>0.2</v>
      </c>
      <c r="W151" s="81">
        <f t="shared" si="49"/>
        <v>3.6521739130434779E-2</v>
      </c>
      <c r="X151" s="82">
        <f t="shared" si="47"/>
        <v>0</v>
      </c>
      <c r="Y151" s="83" t="str">
        <f>IF(N151-$S$5&lt;=0,0,CONCATENATE(NETWORKDAYS($S$5,N151,holiday!$B$4:$B$20)))</f>
        <v>18</v>
      </c>
      <c r="Z151" s="84">
        <f t="shared" si="48"/>
        <v>-0.18260869565217389</v>
      </c>
      <c r="AA151" s="85"/>
      <c r="AB151" s="228"/>
    </row>
    <row r="152" spans="1:28" s="212" customFormat="1" ht="30" customHeight="1" outlineLevel="1" x14ac:dyDescent="0.3">
      <c r="A152" s="96"/>
      <c r="B152" s="40">
        <v>150</v>
      </c>
      <c r="C152" s="76" t="s">
        <v>459</v>
      </c>
      <c r="D152" s="83">
        <v>5</v>
      </c>
      <c r="E152" s="78"/>
      <c r="F152" s="177"/>
      <c r="G152" s="177"/>
      <c r="H152" s="177"/>
      <c r="I152" s="79"/>
      <c r="J152" s="79" t="s">
        <v>385</v>
      </c>
      <c r="K152" s="79"/>
      <c r="L152" s="77" t="str">
        <f>CONCATENATE(NETWORKDAYS(M152,N152,holiday!B$4:B$20),"일")</f>
        <v>23일</v>
      </c>
      <c r="M152" s="306">
        <v>46113</v>
      </c>
      <c r="N152" s="306">
        <v>46143</v>
      </c>
      <c r="O152" s="107" t="s">
        <v>68</v>
      </c>
      <c r="P152" s="107" t="s">
        <v>75</v>
      </c>
      <c r="Q152" s="107" t="s">
        <v>202</v>
      </c>
      <c r="R152" s="80">
        <f>IF(COUNTBLANK(M152:N152)&gt;0,0,1/NETWORKDAYS(M152,N152,holiday!B$4:B$20)*(IF($S$5&lt;=M152,0,NETWORKDAYS(M152,IF($S$5&gt;N152,N152,$S$5),holiday!B$4:B$20))))</f>
        <v>0.2608695652173913</v>
      </c>
      <c r="S152" s="244"/>
      <c r="T152" s="244"/>
      <c r="U152" s="219">
        <v>0</v>
      </c>
      <c r="V152" s="99">
        <v>0.35</v>
      </c>
      <c r="W152" s="81">
        <f t="shared" si="49"/>
        <v>9.1304347826086943E-2</v>
      </c>
      <c r="X152" s="82">
        <f t="shared" si="47"/>
        <v>0</v>
      </c>
      <c r="Y152" s="83" t="str">
        <f>IF(N152-$S$5&lt;=0,0,CONCATENATE(NETWORKDAYS($S$5,N152,holiday!$B$4:$B$20)))</f>
        <v>18</v>
      </c>
      <c r="Z152" s="84">
        <f t="shared" si="48"/>
        <v>-0.2608695652173913</v>
      </c>
      <c r="AA152" s="85"/>
      <c r="AB152" s="228"/>
    </row>
    <row r="153" spans="1:28" s="212" customFormat="1" ht="30" customHeight="1" outlineLevel="1" x14ac:dyDescent="0.3">
      <c r="A153" s="96"/>
      <c r="B153" s="40">
        <v>151</v>
      </c>
      <c r="C153" s="76" t="s">
        <v>460</v>
      </c>
      <c r="D153" s="83">
        <v>5</v>
      </c>
      <c r="E153" s="78"/>
      <c r="F153" s="177"/>
      <c r="G153" s="177"/>
      <c r="H153" s="177"/>
      <c r="I153" s="79"/>
      <c r="J153" s="79" t="s">
        <v>386</v>
      </c>
      <c r="K153" s="79"/>
      <c r="L153" s="77" t="str">
        <f>CONCATENATE(NETWORKDAYS(M153,N153,holiday!B$4:B$20),"일")</f>
        <v>23일</v>
      </c>
      <c r="M153" s="306">
        <v>46113</v>
      </c>
      <c r="N153" s="306">
        <v>46143</v>
      </c>
      <c r="O153" s="107" t="s">
        <v>68</v>
      </c>
      <c r="P153" s="107" t="s">
        <v>75</v>
      </c>
      <c r="Q153" s="107" t="s">
        <v>202</v>
      </c>
      <c r="R153" s="80">
        <f>IF(COUNTBLANK(M153:N153)&gt;0,0,1/NETWORKDAYS(M153,N153,holiday!B$4:B$20)*(IF($S$5&lt;=M153,0,NETWORKDAYS(M153,IF($S$5&gt;N153,N153,$S$5),holiday!B$4:B$20))))</f>
        <v>0.2608695652173913</v>
      </c>
      <c r="S153" s="244"/>
      <c r="T153" s="244"/>
      <c r="U153" s="219">
        <v>0</v>
      </c>
      <c r="V153" s="99">
        <v>0.35</v>
      </c>
      <c r="W153" s="81">
        <f t="shared" si="49"/>
        <v>9.1304347826086943E-2</v>
      </c>
      <c r="X153" s="82">
        <f t="shared" si="47"/>
        <v>0</v>
      </c>
      <c r="Y153" s="83" t="str">
        <f>IF(N153-$S$5&lt;=0,0,CONCATENATE(NETWORKDAYS($S$5,N153,holiday!$B$4:$B$20)))</f>
        <v>18</v>
      </c>
      <c r="Z153" s="84">
        <f t="shared" si="48"/>
        <v>-0.2608695652173913</v>
      </c>
      <c r="AA153" s="85"/>
      <c r="AB153" s="228"/>
    </row>
    <row r="154" spans="1:28" s="212" customFormat="1" ht="30" customHeight="1" outlineLevel="1" x14ac:dyDescent="0.3">
      <c r="A154" s="96"/>
      <c r="B154" s="40">
        <v>152</v>
      </c>
      <c r="C154" s="76" t="s">
        <v>278</v>
      </c>
      <c r="D154" s="83">
        <v>4</v>
      </c>
      <c r="E154" s="78"/>
      <c r="F154" s="177"/>
      <c r="G154" s="177"/>
      <c r="H154" s="177"/>
      <c r="I154" s="79" t="s">
        <v>101</v>
      </c>
      <c r="J154" s="79"/>
      <c r="K154" s="79"/>
      <c r="L154" s="77" t="str">
        <f>CONCATENATE(NETWORKDAYS(M154,N154,holiday!B$4:B$20),"일")</f>
        <v>23일</v>
      </c>
      <c r="M154" s="306">
        <f>MIN(M155,M156,M157)</f>
        <v>46113</v>
      </c>
      <c r="N154" s="306">
        <f>MAX(N155,N156,N157)</f>
        <v>46143</v>
      </c>
      <c r="O154" s="107" t="s">
        <v>68</v>
      </c>
      <c r="P154" s="107" t="s">
        <v>75</v>
      </c>
      <c r="Q154" s="107" t="s">
        <v>244</v>
      </c>
      <c r="R154" s="80">
        <f>SUM(W155:W157)</f>
        <v>0.26086956521739124</v>
      </c>
      <c r="S154" s="244"/>
      <c r="T154" s="244"/>
      <c r="U154" s="219">
        <f>SUM(X155:X157)</f>
        <v>0</v>
      </c>
      <c r="V154" s="99">
        <v>0.2</v>
      </c>
      <c r="W154" s="81">
        <f t="shared" si="49"/>
        <v>5.2173913043478251E-2</v>
      </c>
      <c r="X154" s="82">
        <f t="shared" si="47"/>
        <v>0</v>
      </c>
      <c r="Y154" s="83" t="str">
        <f>IF(N154-$S$5&lt;=0,0,CONCATENATE(NETWORKDAYS($S$5,N154,holiday!$B$4:$B$20)))</f>
        <v>18</v>
      </c>
      <c r="Z154" s="84">
        <f t="shared" si="48"/>
        <v>-0.26086956521739124</v>
      </c>
      <c r="AA154" s="85"/>
      <c r="AB154" s="228"/>
    </row>
    <row r="155" spans="1:28" s="212" customFormat="1" ht="30" customHeight="1" outlineLevel="1" x14ac:dyDescent="0.3">
      <c r="A155" s="96"/>
      <c r="B155" s="40">
        <v>153</v>
      </c>
      <c r="C155" s="76" t="s">
        <v>461</v>
      </c>
      <c r="D155" s="83">
        <v>5</v>
      </c>
      <c r="E155" s="78"/>
      <c r="F155" s="177"/>
      <c r="G155" s="177"/>
      <c r="H155" s="177"/>
      <c r="I155" s="79"/>
      <c r="J155" s="79" t="s">
        <v>387</v>
      </c>
      <c r="K155" s="79"/>
      <c r="L155" s="77" t="str">
        <f>CONCATENATE(NETWORKDAYS(M155,N155,holiday!B$4:B$20),"일")</f>
        <v>23일</v>
      </c>
      <c r="M155" s="306">
        <v>46113</v>
      </c>
      <c r="N155" s="306">
        <v>46143</v>
      </c>
      <c r="O155" s="107" t="s">
        <v>68</v>
      </c>
      <c r="P155" s="107" t="s">
        <v>75</v>
      </c>
      <c r="Q155" s="107" t="s">
        <v>202</v>
      </c>
      <c r="R155" s="80">
        <f>IF(COUNTBLANK(M155:N155)&gt;0,0,1/NETWORKDAYS(M155,N155,holiday!B$4:B$20)*(IF($S$5&lt;=M155,0,NETWORKDAYS(M155,IF($S$5&gt;N155,N155,$S$5),holiday!B$4:B$20))))</f>
        <v>0.2608695652173913</v>
      </c>
      <c r="S155" s="244"/>
      <c r="T155" s="244"/>
      <c r="U155" s="219">
        <v>0</v>
      </c>
      <c r="V155" s="99">
        <v>0.35</v>
      </c>
      <c r="W155" s="81">
        <f t="shared" si="49"/>
        <v>9.1304347826086943E-2</v>
      </c>
      <c r="X155" s="82">
        <f t="shared" si="47"/>
        <v>0</v>
      </c>
      <c r="Y155" s="83" t="str">
        <f>IF(N155-$S$5&lt;=0,0,CONCATENATE(NETWORKDAYS($S$5,N155,holiday!$B$4:$B$20)))</f>
        <v>18</v>
      </c>
      <c r="Z155" s="84">
        <f t="shared" si="48"/>
        <v>-0.2608695652173913</v>
      </c>
      <c r="AA155" s="85"/>
      <c r="AB155" s="228"/>
    </row>
    <row r="156" spans="1:28" s="212" customFormat="1" ht="30" customHeight="1" outlineLevel="1" x14ac:dyDescent="0.3">
      <c r="A156" s="96"/>
      <c r="B156" s="40">
        <v>154</v>
      </c>
      <c r="C156" s="76" t="s">
        <v>462</v>
      </c>
      <c r="D156" s="83">
        <v>5</v>
      </c>
      <c r="E156" s="78"/>
      <c r="F156" s="177"/>
      <c r="G156" s="177"/>
      <c r="H156" s="177"/>
      <c r="I156" s="79"/>
      <c r="J156" s="79" t="s">
        <v>388</v>
      </c>
      <c r="K156" s="79"/>
      <c r="L156" s="77" t="str">
        <f>CONCATENATE(NETWORKDAYS(M156,N156,holiday!B$4:B$20),"일")</f>
        <v>23일</v>
      </c>
      <c r="M156" s="306">
        <v>46113</v>
      </c>
      <c r="N156" s="306">
        <v>46143</v>
      </c>
      <c r="O156" s="107" t="s">
        <v>68</v>
      </c>
      <c r="P156" s="107" t="s">
        <v>75</v>
      </c>
      <c r="Q156" s="107" t="s">
        <v>202</v>
      </c>
      <c r="R156" s="80">
        <f>IF(COUNTBLANK(M156:N156)&gt;0,0,1/NETWORKDAYS(M156,N156,holiday!B$4:B$20)*(IF($S$5&lt;=M156,0,NETWORKDAYS(M156,IF($S$5&gt;N156,N156,$S$5),holiday!B$4:B$20))))</f>
        <v>0.2608695652173913</v>
      </c>
      <c r="S156" s="244"/>
      <c r="T156" s="244"/>
      <c r="U156" s="219">
        <v>0</v>
      </c>
      <c r="V156" s="99">
        <v>0.35</v>
      </c>
      <c r="W156" s="81">
        <f t="shared" si="49"/>
        <v>9.1304347826086943E-2</v>
      </c>
      <c r="X156" s="82">
        <f t="shared" si="47"/>
        <v>0</v>
      </c>
      <c r="Y156" s="83" t="str">
        <f>IF(N156-$S$5&lt;=0,0,CONCATENATE(NETWORKDAYS($S$5,N156,holiday!$B$4:$B$20)))</f>
        <v>18</v>
      </c>
      <c r="Z156" s="84">
        <f t="shared" si="48"/>
        <v>-0.2608695652173913</v>
      </c>
      <c r="AA156" s="85"/>
      <c r="AB156" s="228"/>
    </row>
    <row r="157" spans="1:28" s="212" customFormat="1" ht="30" customHeight="1" outlineLevel="1" x14ac:dyDescent="0.3">
      <c r="A157" s="96"/>
      <c r="B157" s="40">
        <v>155</v>
      </c>
      <c r="C157" s="76" t="s">
        <v>463</v>
      </c>
      <c r="D157" s="83">
        <v>5</v>
      </c>
      <c r="E157" s="78"/>
      <c r="F157" s="177"/>
      <c r="G157" s="177"/>
      <c r="H157" s="177"/>
      <c r="I157" s="79"/>
      <c r="J157" s="79" t="s">
        <v>389</v>
      </c>
      <c r="K157" s="79"/>
      <c r="L157" s="77" t="str">
        <f>CONCATENATE(NETWORKDAYS(M157,N157,holiday!B$4:B$20),"일")</f>
        <v>23일</v>
      </c>
      <c r="M157" s="306">
        <v>46113</v>
      </c>
      <c r="N157" s="306">
        <v>46143</v>
      </c>
      <c r="O157" s="107" t="s">
        <v>68</v>
      </c>
      <c r="P157" s="107" t="s">
        <v>75</v>
      </c>
      <c r="Q157" s="107" t="s">
        <v>202</v>
      </c>
      <c r="R157" s="80">
        <f>IF(COUNTBLANK(M157:N157)&gt;0,0,1/NETWORKDAYS(M157,N157,holiday!B$4:B$20)*(IF($S$5&lt;=M157,0,NETWORKDAYS(M157,IF($S$5&gt;N157,N157,$S$5),holiday!B$4:B$20))))</f>
        <v>0.2608695652173913</v>
      </c>
      <c r="S157" s="244"/>
      <c r="T157" s="244"/>
      <c r="U157" s="219">
        <v>0</v>
      </c>
      <c r="V157" s="99">
        <v>0.3</v>
      </c>
      <c r="W157" s="81">
        <f t="shared" si="49"/>
        <v>7.8260869565217384E-2</v>
      </c>
      <c r="X157" s="82">
        <f t="shared" si="47"/>
        <v>0</v>
      </c>
      <c r="Y157" s="83" t="str">
        <f>IF(N157-$S$5&lt;=0,0,CONCATENATE(NETWORKDAYS($S$5,N157,holiday!$B$4:$B$20)))</f>
        <v>18</v>
      </c>
      <c r="Z157" s="84">
        <f t="shared" si="48"/>
        <v>-0.2608695652173913</v>
      </c>
      <c r="AA157" s="85"/>
      <c r="AB157" s="228"/>
    </row>
    <row r="158" spans="1:28" s="212" customFormat="1" ht="30" customHeight="1" outlineLevel="1" x14ac:dyDescent="0.3">
      <c r="A158" s="96"/>
      <c r="B158" s="40">
        <v>156</v>
      </c>
      <c r="C158" s="76" t="s">
        <v>279</v>
      </c>
      <c r="D158" s="83">
        <v>4</v>
      </c>
      <c r="E158" s="78"/>
      <c r="F158" s="177"/>
      <c r="G158" s="177"/>
      <c r="H158" s="177"/>
      <c r="I158" s="79" t="s">
        <v>2</v>
      </c>
      <c r="J158" s="79"/>
      <c r="K158" s="79"/>
      <c r="L158" s="77" t="str">
        <f>CONCATENATE(NETWORKDAYS(M158,N158,holiday!B$4:B$20),"일")</f>
        <v>23일</v>
      </c>
      <c r="M158" s="306">
        <f>MIN(M159,M160,M161)</f>
        <v>46113</v>
      </c>
      <c r="N158" s="306">
        <f>MAX(N159,N160,N161)</f>
        <v>46143</v>
      </c>
      <c r="O158" s="107" t="s">
        <v>68</v>
      </c>
      <c r="P158" s="107" t="s">
        <v>75</v>
      </c>
      <c r="Q158" s="107" t="s">
        <v>244</v>
      </c>
      <c r="R158" s="80">
        <f>SUM(W159:W161)</f>
        <v>0.26086956521739124</v>
      </c>
      <c r="S158" s="244"/>
      <c r="T158" s="244"/>
      <c r="U158" s="219">
        <f>SUM(X159:X161)</f>
        <v>0</v>
      </c>
      <c r="V158" s="99">
        <v>0.2</v>
      </c>
      <c r="W158" s="81">
        <f t="shared" si="49"/>
        <v>5.2173913043478251E-2</v>
      </c>
      <c r="X158" s="82">
        <f t="shared" si="47"/>
        <v>0</v>
      </c>
      <c r="Y158" s="83" t="str">
        <f>IF(N158-$S$5&lt;=0,0,CONCATENATE(NETWORKDAYS($S$5,N158,holiday!$B$4:$B$20)))</f>
        <v>18</v>
      </c>
      <c r="Z158" s="84">
        <f t="shared" si="48"/>
        <v>-0.26086956521739124</v>
      </c>
      <c r="AA158" s="85"/>
      <c r="AB158" s="228"/>
    </row>
    <row r="159" spans="1:28" s="212" customFormat="1" ht="30" customHeight="1" outlineLevel="1" x14ac:dyDescent="0.3">
      <c r="A159" s="96"/>
      <c r="B159" s="40">
        <v>157</v>
      </c>
      <c r="C159" s="76" t="s">
        <v>464</v>
      </c>
      <c r="D159" s="83">
        <v>5</v>
      </c>
      <c r="E159" s="78"/>
      <c r="F159" s="177"/>
      <c r="G159" s="177"/>
      <c r="H159" s="177"/>
      <c r="I159" s="79"/>
      <c r="J159" s="79" t="s">
        <v>390</v>
      </c>
      <c r="K159" s="79"/>
      <c r="L159" s="77" t="str">
        <f>CONCATENATE(NETWORKDAYS(M159,N159,holiday!B$4:B$20),"일")</f>
        <v>23일</v>
      </c>
      <c r="M159" s="306">
        <v>46113</v>
      </c>
      <c r="N159" s="306">
        <v>46143</v>
      </c>
      <c r="O159" s="107" t="s">
        <v>68</v>
      </c>
      <c r="P159" s="107" t="s">
        <v>75</v>
      </c>
      <c r="Q159" s="107" t="s">
        <v>202</v>
      </c>
      <c r="R159" s="80">
        <f>IF(COUNTBLANK(M159:N159)&gt;0,0,1/NETWORKDAYS(M159,N159,holiday!B$4:B$20)*(IF($S$5&lt;=M159,0,NETWORKDAYS(M159,IF($S$5&gt;N159,N159,$S$5),holiday!B$4:B$20))))</f>
        <v>0.2608695652173913</v>
      </c>
      <c r="S159" s="244"/>
      <c r="T159" s="244"/>
      <c r="U159" s="219">
        <v>0</v>
      </c>
      <c r="V159" s="99">
        <v>0.35</v>
      </c>
      <c r="W159" s="81">
        <f t="shared" si="49"/>
        <v>9.1304347826086943E-2</v>
      </c>
      <c r="X159" s="82">
        <f t="shared" si="47"/>
        <v>0</v>
      </c>
      <c r="Y159" s="83" t="str">
        <f>IF(N159-$S$5&lt;=0,0,CONCATENATE(NETWORKDAYS($S$5,N159,holiday!$B$4:$B$20)))</f>
        <v>18</v>
      </c>
      <c r="Z159" s="84">
        <f t="shared" si="48"/>
        <v>-0.2608695652173913</v>
      </c>
      <c r="AA159" s="85"/>
      <c r="AB159" s="228"/>
    </row>
    <row r="160" spans="1:28" s="212" customFormat="1" ht="30" customHeight="1" outlineLevel="1" x14ac:dyDescent="0.3">
      <c r="A160" s="96"/>
      <c r="B160" s="40">
        <v>158</v>
      </c>
      <c r="C160" s="76" t="s">
        <v>465</v>
      </c>
      <c r="D160" s="83">
        <v>5</v>
      </c>
      <c r="E160" s="78"/>
      <c r="F160" s="177"/>
      <c r="G160" s="177"/>
      <c r="H160" s="177"/>
      <c r="I160" s="79"/>
      <c r="J160" s="79" t="s">
        <v>391</v>
      </c>
      <c r="K160" s="79"/>
      <c r="L160" s="77" t="str">
        <f>CONCATENATE(NETWORKDAYS(M160,N160,holiday!B$4:B$20),"일")</f>
        <v>23일</v>
      </c>
      <c r="M160" s="306">
        <v>46113</v>
      </c>
      <c r="N160" s="306">
        <v>46143</v>
      </c>
      <c r="O160" s="107" t="s">
        <v>68</v>
      </c>
      <c r="P160" s="107" t="s">
        <v>75</v>
      </c>
      <c r="Q160" s="107" t="s">
        <v>202</v>
      </c>
      <c r="R160" s="80">
        <f>IF(COUNTBLANK(M160:N160)&gt;0,0,1/NETWORKDAYS(M160,N160,holiday!B$4:B$20)*(IF($S$5&lt;=M160,0,NETWORKDAYS(M160,IF($S$5&gt;N160,N160,$S$5),holiday!B$4:B$20))))</f>
        <v>0.2608695652173913</v>
      </c>
      <c r="S160" s="244"/>
      <c r="T160" s="244"/>
      <c r="U160" s="219">
        <v>0</v>
      </c>
      <c r="V160" s="99">
        <v>0.35</v>
      </c>
      <c r="W160" s="81">
        <f t="shared" ref="W160:W179" si="53">R160*V160</f>
        <v>9.1304347826086943E-2</v>
      </c>
      <c r="X160" s="82">
        <f t="shared" si="47"/>
        <v>0</v>
      </c>
      <c r="Y160" s="83" t="str">
        <f>IF(N160-$S$5&lt;=0,0,CONCATENATE(NETWORKDAYS($S$5,N160,holiday!$B$4:$B$20)))</f>
        <v>18</v>
      </c>
      <c r="Z160" s="84">
        <f t="shared" si="48"/>
        <v>-0.2608695652173913</v>
      </c>
      <c r="AA160" s="85"/>
      <c r="AB160" s="228"/>
    </row>
    <row r="161" spans="1:28" s="212" customFormat="1" ht="30" customHeight="1" outlineLevel="1" x14ac:dyDescent="0.3">
      <c r="A161" s="96"/>
      <c r="B161" s="40">
        <v>159</v>
      </c>
      <c r="C161" s="76" t="s">
        <v>466</v>
      </c>
      <c r="D161" s="83">
        <v>5</v>
      </c>
      <c r="E161" s="78"/>
      <c r="F161" s="177"/>
      <c r="G161" s="177"/>
      <c r="H161" s="177"/>
      <c r="I161" s="79"/>
      <c r="J161" s="79" t="s">
        <v>392</v>
      </c>
      <c r="K161" s="79"/>
      <c r="L161" s="77" t="str">
        <f>CONCATENATE(NETWORKDAYS(M161,N161,holiday!B$4:B$20),"일")</f>
        <v>23일</v>
      </c>
      <c r="M161" s="306">
        <v>46113</v>
      </c>
      <c r="N161" s="306">
        <v>46143</v>
      </c>
      <c r="O161" s="107" t="s">
        <v>68</v>
      </c>
      <c r="P161" s="107" t="s">
        <v>75</v>
      </c>
      <c r="Q161" s="107" t="s">
        <v>202</v>
      </c>
      <c r="R161" s="80">
        <f>IF(COUNTBLANK(M161:N161)&gt;0,0,1/NETWORKDAYS(M161,N161,holiday!B$4:B$20)*(IF($S$5&lt;=M161,0,NETWORKDAYS(M161,IF($S$5&gt;N161,N161,$S$5),holiday!B$4:B$20))))</f>
        <v>0.2608695652173913</v>
      </c>
      <c r="S161" s="244"/>
      <c r="T161" s="244"/>
      <c r="U161" s="219">
        <v>0</v>
      </c>
      <c r="V161" s="99">
        <v>0.3</v>
      </c>
      <c r="W161" s="81">
        <f t="shared" si="53"/>
        <v>7.8260869565217384E-2</v>
      </c>
      <c r="X161" s="82">
        <f t="shared" si="47"/>
        <v>0</v>
      </c>
      <c r="Y161" s="83" t="str">
        <f>IF(N161-$S$5&lt;=0,0,CONCATENATE(NETWORKDAYS($S$5,N161,holiday!$B$4:$B$20)))</f>
        <v>18</v>
      </c>
      <c r="Z161" s="84">
        <f t="shared" si="48"/>
        <v>-0.2608695652173913</v>
      </c>
      <c r="AA161" s="85"/>
      <c r="AB161" s="228"/>
    </row>
    <row r="162" spans="1:28" s="212" customFormat="1" ht="30" customHeight="1" outlineLevel="1" x14ac:dyDescent="0.3">
      <c r="A162" s="96"/>
      <c r="B162" s="40">
        <v>160</v>
      </c>
      <c r="C162" s="76" t="s">
        <v>280</v>
      </c>
      <c r="D162" s="83">
        <v>4</v>
      </c>
      <c r="E162" s="78"/>
      <c r="F162" s="177"/>
      <c r="G162" s="177"/>
      <c r="H162" s="79"/>
      <c r="I162" s="79" t="s">
        <v>94</v>
      </c>
      <c r="J162" s="79"/>
      <c r="K162" s="79"/>
      <c r="L162" s="77" t="str">
        <f>CONCATENATE(NETWORKDAYS(M162,N162,holiday!B$4:B$20),"일")</f>
        <v>23일</v>
      </c>
      <c r="M162" s="306">
        <v>46113</v>
      </c>
      <c r="N162" s="306">
        <v>46143</v>
      </c>
      <c r="O162" s="107" t="s">
        <v>68</v>
      </c>
      <c r="P162" s="107" t="s">
        <v>75</v>
      </c>
      <c r="Q162" s="107" t="s">
        <v>244</v>
      </c>
      <c r="R162" s="80">
        <f>IF(COUNTBLANK(M162:N162)&gt;0,0,1/NETWORKDAYS(M162,N162,holiday!B$4:B$20)*(IF($S$5&lt;=M162,0,NETWORKDAYS(M162,IF($S$5&gt;N162,N162,$S$5),holiday!B$4:B$20))))</f>
        <v>0.2608695652173913</v>
      </c>
      <c r="S162" s="244"/>
      <c r="T162" s="244"/>
      <c r="U162" s="219">
        <v>0</v>
      </c>
      <c r="V162" s="99">
        <v>0.1</v>
      </c>
      <c r="W162" s="81">
        <f t="shared" si="53"/>
        <v>2.6086956521739132E-2</v>
      </c>
      <c r="X162" s="82">
        <f t="shared" si="47"/>
        <v>0</v>
      </c>
      <c r="Y162" s="83" t="str">
        <f>IF(N162-$S$5&lt;=0,0,CONCATENATE(NETWORKDAYS($S$5,N162,holiday!$B$4:$B$20)))</f>
        <v>18</v>
      </c>
      <c r="Z162" s="84">
        <f t="shared" si="48"/>
        <v>-0.2608695652173913</v>
      </c>
      <c r="AA162" s="224"/>
      <c r="AB162" s="228"/>
    </row>
    <row r="163" spans="1:28" s="212" customFormat="1" ht="30" customHeight="1" outlineLevel="1" x14ac:dyDescent="0.3">
      <c r="A163" s="96"/>
      <c r="B163" s="40">
        <v>161</v>
      </c>
      <c r="C163" s="76" t="s">
        <v>281</v>
      </c>
      <c r="D163" s="83">
        <v>4</v>
      </c>
      <c r="E163" s="78"/>
      <c r="F163" s="177"/>
      <c r="G163" s="177"/>
      <c r="H163" s="79"/>
      <c r="I163" s="79" t="s">
        <v>95</v>
      </c>
      <c r="J163" s="79"/>
      <c r="K163" s="79"/>
      <c r="L163" s="77" t="str">
        <f>CONCATENATE(NETWORKDAYS(M163,N163,holiday!B$4:B$20),"일")</f>
        <v>23일</v>
      </c>
      <c r="M163" s="306">
        <f>MIN(M164,M165,M166)</f>
        <v>46113</v>
      </c>
      <c r="N163" s="306">
        <f>MAX(N164,N165,N166)</f>
        <v>46143</v>
      </c>
      <c r="O163" s="107" t="s">
        <v>68</v>
      </c>
      <c r="P163" s="107" t="s">
        <v>75</v>
      </c>
      <c r="Q163" s="107" t="s">
        <v>244</v>
      </c>
      <c r="R163" s="80">
        <f>SUM(W164:W166)</f>
        <v>0.26086956521739124</v>
      </c>
      <c r="S163" s="244"/>
      <c r="T163" s="244"/>
      <c r="U163" s="219">
        <f>SUM(X164:X166)</f>
        <v>0</v>
      </c>
      <c r="V163" s="99">
        <v>0.1</v>
      </c>
      <c r="W163" s="81">
        <f t="shared" si="53"/>
        <v>2.6086956521739126E-2</v>
      </c>
      <c r="X163" s="82">
        <f t="shared" si="47"/>
        <v>0</v>
      </c>
      <c r="Y163" s="83" t="str">
        <f>IF(N163-$S$5&lt;=0,0,CONCATENATE(NETWORKDAYS($S$5,N163,holiday!$B$4:$B$20)))</f>
        <v>18</v>
      </c>
      <c r="Z163" s="84">
        <f t="shared" si="48"/>
        <v>-0.26086956521739124</v>
      </c>
      <c r="AA163" s="224"/>
      <c r="AB163" s="228"/>
    </row>
    <row r="164" spans="1:28" s="212" customFormat="1" ht="30" customHeight="1" outlineLevel="1" x14ac:dyDescent="0.3">
      <c r="A164" s="96"/>
      <c r="B164" s="40">
        <v>162</v>
      </c>
      <c r="C164" s="76" t="s">
        <v>467</v>
      </c>
      <c r="D164" s="83">
        <v>5</v>
      </c>
      <c r="E164" s="78"/>
      <c r="F164" s="177"/>
      <c r="G164" s="177"/>
      <c r="H164" s="79"/>
      <c r="I164" s="79"/>
      <c r="J164" s="79" t="s">
        <v>393</v>
      </c>
      <c r="K164" s="79"/>
      <c r="L164" s="77" t="str">
        <f>CONCATENATE(NETWORKDAYS(M164,N164,holiday!B$4:B$20),"일")</f>
        <v>23일</v>
      </c>
      <c r="M164" s="306">
        <v>46113</v>
      </c>
      <c r="N164" s="306">
        <v>46143</v>
      </c>
      <c r="O164" s="248" t="s">
        <v>68</v>
      </c>
      <c r="P164" s="248" t="s">
        <v>75</v>
      </c>
      <c r="Q164" s="107" t="s">
        <v>202</v>
      </c>
      <c r="R164" s="80">
        <f>IF(COUNTBLANK(M164:N164)&gt;0,0,1/NETWORKDAYS(M164,N164,holiday!B$4:B$20)*(IF($S$5&lt;=M164,0,NETWORKDAYS(M164,IF($S$5&gt;N164,N164,$S$5),holiday!B$4:B$20))))</f>
        <v>0.2608695652173913</v>
      </c>
      <c r="S164" s="244"/>
      <c r="T164" s="244"/>
      <c r="U164" s="219">
        <v>0</v>
      </c>
      <c r="V164" s="99">
        <v>0.35</v>
      </c>
      <c r="W164" s="81">
        <f t="shared" si="53"/>
        <v>9.1304347826086943E-2</v>
      </c>
      <c r="X164" s="82">
        <f t="shared" ref="X164:X223" si="54">U164*V164</f>
        <v>0</v>
      </c>
      <c r="Y164" s="83" t="str">
        <f>IF(N164-$S$5&lt;=0,0,CONCATENATE(NETWORKDAYS($S$5,N164,holiday!$B$4:$B$20)))</f>
        <v>18</v>
      </c>
      <c r="Z164" s="84">
        <f t="shared" ref="Z164:Z223" si="55">IF(SUM(W164:X164)&gt;0,(X164-W164)/V164,0)</f>
        <v>-0.2608695652173913</v>
      </c>
      <c r="AA164" s="224"/>
      <c r="AB164" s="228"/>
    </row>
    <row r="165" spans="1:28" s="212" customFormat="1" ht="30" customHeight="1" outlineLevel="1" x14ac:dyDescent="0.3">
      <c r="A165" s="96"/>
      <c r="B165" s="40">
        <v>163</v>
      </c>
      <c r="C165" s="76" t="s">
        <v>468</v>
      </c>
      <c r="D165" s="83">
        <v>5</v>
      </c>
      <c r="E165" s="78"/>
      <c r="F165" s="177"/>
      <c r="G165" s="177"/>
      <c r="H165" s="79"/>
      <c r="I165" s="79"/>
      <c r="J165" s="79" t="s">
        <v>394</v>
      </c>
      <c r="K165" s="79"/>
      <c r="L165" s="77" t="str">
        <f>CONCATENATE(NETWORKDAYS(M165,N165,holiday!B$4:B$20),"일")</f>
        <v>23일</v>
      </c>
      <c r="M165" s="306">
        <v>46113</v>
      </c>
      <c r="N165" s="306">
        <v>46143</v>
      </c>
      <c r="O165" s="248" t="s">
        <v>68</v>
      </c>
      <c r="P165" s="248" t="s">
        <v>75</v>
      </c>
      <c r="Q165" s="107" t="s">
        <v>202</v>
      </c>
      <c r="R165" s="80">
        <f>IF(COUNTBLANK(M165:N165)&gt;0,0,1/NETWORKDAYS(M165,N165,holiday!B$4:B$20)*(IF($S$5&lt;=M165,0,NETWORKDAYS(M165,IF($S$5&gt;N165,N165,$S$5),holiday!B$4:B$20))))</f>
        <v>0.2608695652173913</v>
      </c>
      <c r="S165" s="244"/>
      <c r="T165" s="244"/>
      <c r="U165" s="219">
        <v>0</v>
      </c>
      <c r="V165" s="99">
        <v>0.35</v>
      </c>
      <c r="W165" s="81">
        <f t="shared" si="53"/>
        <v>9.1304347826086943E-2</v>
      </c>
      <c r="X165" s="82">
        <f t="shared" si="54"/>
        <v>0</v>
      </c>
      <c r="Y165" s="83" t="str">
        <f>IF(N165-$S$5&lt;=0,0,CONCATENATE(NETWORKDAYS($S$5,N165,holiday!$B$4:$B$20)))</f>
        <v>18</v>
      </c>
      <c r="Z165" s="84">
        <f t="shared" si="55"/>
        <v>-0.2608695652173913</v>
      </c>
      <c r="AA165" s="224"/>
      <c r="AB165" s="228"/>
    </row>
    <row r="166" spans="1:28" s="212" customFormat="1" ht="30" customHeight="1" outlineLevel="1" x14ac:dyDescent="0.3">
      <c r="A166" s="96"/>
      <c r="B166" s="40">
        <v>164</v>
      </c>
      <c r="C166" s="76" t="s">
        <v>469</v>
      </c>
      <c r="D166" s="83">
        <v>5</v>
      </c>
      <c r="E166" s="78"/>
      <c r="F166" s="177"/>
      <c r="G166" s="177"/>
      <c r="H166" s="79"/>
      <c r="I166" s="79"/>
      <c r="J166" s="79" t="s">
        <v>395</v>
      </c>
      <c r="K166" s="79"/>
      <c r="L166" s="77" t="str">
        <f>CONCATENATE(NETWORKDAYS(M166,N166,holiday!B$4:B$20),"일")</f>
        <v>23일</v>
      </c>
      <c r="M166" s="306">
        <v>46113</v>
      </c>
      <c r="N166" s="306">
        <v>46143</v>
      </c>
      <c r="O166" s="248" t="s">
        <v>68</v>
      </c>
      <c r="P166" s="248" t="s">
        <v>75</v>
      </c>
      <c r="Q166" s="107" t="s">
        <v>202</v>
      </c>
      <c r="R166" s="80">
        <f>IF(COUNTBLANK(M166:N166)&gt;0,0,1/NETWORKDAYS(M166,N166,holiday!B$4:B$20)*(IF($S$5&lt;=M166,0,NETWORKDAYS(M166,IF($S$5&gt;N166,N166,$S$5),holiday!B$4:B$20))))</f>
        <v>0.2608695652173913</v>
      </c>
      <c r="S166" s="244"/>
      <c r="T166" s="244"/>
      <c r="U166" s="219">
        <v>0</v>
      </c>
      <c r="V166" s="99">
        <v>0.3</v>
      </c>
      <c r="W166" s="81">
        <f t="shared" si="53"/>
        <v>7.8260869565217384E-2</v>
      </c>
      <c r="X166" s="82">
        <f t="shared" si="54"/>
        <v>0</v>
      </c>
      <c r="Y166" s="83" t="str">
        <f>IF(N166-$S$5&lt;=0,0,CONCATENATE(NETWORKDAYS($S$5,N166,holiday!$B$4:$B$20)))</f>
        <v>18</v>
      </c>
      <c r="Z166" s="84">
        <f t="shared" si="55"/>
        <v>-0.2608695652173913</v>
      </c>
      <c r="AA166" s="224"/>
      <c r="AB166" s="228"/>
    </row>
    <row r="167" spans="1:28" s="93" customFormat="1" ht="30" customHeight="1" outlineLevel="1" x14ac:dyDescent="0.3">
      <c r="B167" s="40">
        <v>165</v>
      </c>
      <c r="C167" s="64" t="s">
        <v>24</v>
      </c>
      <c r="D167" s="72">
        <v>2</v>
      </c>
      <c r="E167" s="66"/>
      <c r="F167" s="190"/>
      <c r="G167" s="190" t="s">
        <v>3</v>
      </c>
      <c r="H167" s="67"/>
      <c r="I167" s="67"/>
      <c r="J167" s="67"/>
      <c r="K167" s="67"/>
      <c r="L167" s="65" t="str">
        <f>CONCATENATE(NETWORKDAYS(M167,N167,holiday!B$4:B$20),"일")</f>
        <v>25일</v>
      </c>
      <c r="M167" s="112">
        <f>MIN(M168,M174,M177)</f>
        <v>46113</v>
      </c>
      <c r="N167" s="112">
        <f>MAX(N168,N174,N177)</f>
        <v>46148</v>
      </c>
      <c r="O167" s="245" t="s">
        <v>68</v>
      </c>
      <c r="P167" s="245" t="s">
        <v>61</v>
      </c>
      <c r="Q167" s="249" t="s">
        <v>406</v>
      </c>
      <c r="R167" s="69">
        <f>SUM(W168,W174,W177)</f>
        <v>0.10500000000000001</v>
      </c>
      <c r="S167" s="191"/>
      <c r="T167" s="191"/>
      <c r="U167" s="69">
        <f>SUM(X168,X174,X177)</f>
        <v>0</v>
      </c>
      <c r="V167" s="100">
        <v>0.2</v>
      </c>
      <c r="W167" s="70">
        <f t="shared" si="53"/>
        <v>2.1000000000000005E-2</v>
      </c>
      <c r="X167" s="71">
        <f t="shared" si="54"/>
        <v>0</v>
      </c>
      <c r="Y167" s="72" t="str">
        <f>IF(N167-$S$5&lt;=0,0,CONCATENATE(NETWORKDAYS($S$5,N167,holiday!$B$4:$B$20)))</f>
        <v>20</v>
      </c>
      <c r="Z167" s="73">
        <f t="shared" si="55"/>
        <v>-0.10500000000000002</v>
      </c>
      <c r="AA167" s="74"/>
      <c r="AB167" s="124"/>
    </row>
    <row r="168" spans="1:28" s="202" customFormat="1" ht="30" customHeight="1" x14ac:dyDescent="0.3">
      <c r="A168" s="96"/>
      <c r="B168" s="40">
        <v>166</v>
      </c>
      <c r="C168" s="76" t="s">
        <v>109</v>
      </c>
      <c r="D168" s="83">
        <v>3</v>
      </c>
      <c r="E168" s="177"/>
      <c r="F168" s="177"/>
      <c r="G168" s="177"/>
      <c r="H168" s="233" t="s">
        <v>518</v>
      </c>
      <c r="I168" s="79"/>
      <c r="J168" s="79"/>
      <c r="K168" s="79"/>
      <c r="L168" s="77" t="str">
        <f>CONCATENATE(NETWORKDAYS(M168,N168,holiday!B$4:B$20),"일")</f>
        <v>22일</v>
      </c>
      <c r="M168" s="273">
        <f>MIN(M169,M170,M171,M172,M173)</f>
        <v>46113</v>
      </c>
      <c r="N168" s="273">
        <f>MAX(N169,N170,N171,N172,N173)</f>
        <v>46142</v>
      </c>
      <c r="O168" s="107" t="s">
        <v>68</v>
      </c>
      <c r="P168" s="107" t="s">
        <v>61</v>
      </c>
      <c r="Q168" s="107" t="str">
        <f>Q167</f>
        <v>허인영</v>
      </c>
      <c r="R168" s="80">
        <f>SUM(W169:W173)</f>
        <v>0.21000000000000002</v>
      </c>
      <c r="S168" s="244"/>
      <c r="T168" s="244"/>
      <c r="U168" s="219">
        <f>SUM(X169:X173)</f>
        <v>0</v>
      </c>
      <c r="V168" s="99">
        <v>0.5</v>
      </c>
      <c r="W168" s="81">
        <f t="shared" si="53"/>
        <v>0.10500000000000001</v>
      </c>
      <c r="X168" s="82">
        <f t="shared" si="54"/>
        <v>0</v>
      </c>
      <c r="Y168" s="83" t="str">
        <f>IF(N168-$S$5&lt;=0,0,CONCATENATE(NETWORKDAYS($S$5,N168,holiday!$B$4:$B$20)))</f>
        <v>17</v>
      </c>
      <c r="Z168" s="84">
        <f t="shared" si="55"/>
        <v>-0.21000000000000002</v>
      </c>
      <c r="AA168" s="85"/>
      <c r="AB168" s="123"/>
    </row>
    <row r="169" spans="1:28" s="212" customFormat="1" ht="30" customHeight="1" x14ac:dyDescent="0.3">
      <c r="A169" s="96"/>
      <c r="B169" s="40">
        <v>167</v>
      </c>
      <c r="C169" s="76" t="s">
        <v>282</v>
      </c>
      <c r="D169" s="83">
        <v>4</v>
      </c>
      <c r="E169" s="177"/>
      <c r="F169" s="177"/>
      <c r="G169" s="177"/>
      <c r="H169" s="79"/>
      <c r="I169" s="79" t="s">
        <v>550</v>
      </c>
      <c r="J169" s="79"/>
      <c r="K169" s="79"/>
      <c r="L169" s="77" t="str">
        <f>CONCATENATE(NETWORKDAYS(M169,N169,holiday!B$4:B$20),"일")</f>
        <v>6일</v>
      </c>
      <c r="M169" s="273">
        <v>46122</v>
      </c>
      <c r="N169" s="273">
        <v>46129</v>
      </c>
      <c r="O169" s="107" t="s">
        <v>68</v>
      </c>
      <c r="P169" s="107" t="s">
        <v>61</v>
      </c>
      <c r="Q169" s="107" t="str">
        <f t="shared" ref="Q169:Q179" si="56">Q168</f>
        <v>허인영</v>
      </c>
      <c r="R169" s="80">
        <f>IF(COUNTBLANK(M169:N169)&gt;0,0,1/NETWORKDAYS(M169,N169,holiday!B$4:B$20)*(IF($S$5&lt;=M169,0,NETWORKDAYS(M169,IF($S$5&gt;N169,N169,$S$5),holiday!B$4:B$20))))</f>
        <v>0</v>
      </c>
      <c r="S169" s="244"/>
      <c r="T169" s="244"/>
      <c r="U169" s="219">
        <f>SUM(X170:X171)</f>
        <v>0</v>
      </c>
      <c r="V169" s="99">
        <v>0.2</v>
      </c>
      <c r="W169" s="81">
        <f t="shared" si="53"/>
        <v>0</v>
      </c>
      <c r="X169" s="82">
        <f t="shared" si="54"/>
        <v>0</v>
      </c>
      <c r="Y169" s="83" t="str">
        <f>IF(N169-$S$5&lt;=0,0,CONCATENATE(NETWORKDAYS($S$5,N169,holiday!$B$4:$B$20)))</f>
        <v>8</v>
      </c>
      <c r="Z169" s="84">
        <f t="shared" si="55"/>
        <v>0</v>
      </c>
      <c r="AA169" s="224"/>
      <c r="AB169" s="228"/>
    </row>
    <row r="170" spans="1:28" s="212" customFormat="1" ht="30" customHeight="1" x14ac:dyDescent="0.3">
      <c r="A170" s="96"/>
      <c r="B170" s="40">
        <v>168</v>
      </c>
      <c r="C170" s="76" t="s">
        <v>546</v>
      </c>
      <c r="D170" s="83">
        <v>4</v>
      </c>
      <c r="E170" s="177"/>
      <c r="F170" s="177"/>
      <c r="G170" s="177"/>
      <c r="H170" s="79"/>
      <c r="I170" s="79" t="s">
        <v>551</v>
      </c>
      <c r="J170" s="79"/>
      <c r="K170" s="79"/>
      <c r="L170" s="77" t="str">
        <f>CONCATENATE(NETWORKDAYS(M170,N170,holiday!B$4:B$20),"일")</f>
        <v>9일</v>
      </c>
      <c r="M170" s="273">
        <v>46132</v>
      </c>
      <c r="N170" s="273">
        <v>46142</v>
      </c>
      <c r="O170" s="107" t="s">
        <v>68</v>
      </c>
      <c r="P170" s="107" t="s">
        <v>61</v>
      </c>
      <c r="Q170" s="107" t="str">
        <f t="shared" si="56"/>
        <v>허인영</v>
      </c>
      <c r="R170" s="80">
        <f>IF(COUNTBLANK(M170:N170)&gt;0,0,1/NETWORKDAYS(M170,N170,holiday!B$4:B$20)*(IF($S$5&lt;=M170,0,NETWORKDAYS(M170,IF($S$5&gt;N170,N170,$S$5),holiday!B$4:B$20))))</f>
        <v>0</v>
      </c>
      <c r="S170" s="244"/>
      <c r="T170" s="244"/>
      <c r="U170" s="219">
        <v>0</v>
      </c>
      <c r="V170" s="99">
        <v>0.2</v>
      </c>
      <c r="W170" s="81">
        <f t="shared" si="53"/>
        <v>0</v>
      </c>
      <c r="X170" s="82">
        <f t="shared" si="54"/>
        <v>0</v>
      </c>
      <c r="Y170" s="83" t="str">
        <f>IF(N170-$S$5&lt;=0,0,CONCATENATE(NETWORKDAYS($S$5,N170,holiday!$B$4:$B$20)))</f>
        <v>17</v>
      </c>
      <c r="Z170" s="84">
        <f t="shared" si="55"/>
        <v>0</v>
      </c>
      <c r="AA170" s="224"/>
      <c r="AB170" s="228"/>
    </row>
    <row r="171" spans="1:28" s="212" customFormat="1" ht="30" customHeight="1" x14ac:dyDescent="0.3">
      <c r="A171" s="96"/>
      <c r="B171" s="40">
        <v>169</v>
      </c>
      <c r="C171" s="76" t="s">
        <v>545</v>
      </c>
      <c r="D171" s="83">
        <v>4</v>
      </c>
      <c r="E171" s="177"/>
      <c r="F171" s="177"/>
      <c r="G171" s="177"/>
      <c r="H171" s="79"/>
      <c r="I171" s="79" t="s">
        <v>522</v>
      </c>
      <c r="J171" s="79"/>
      <c r="K171" s="79"/>
      <c r="L171" s="77" t="str">
        <f>CONCATENATE(NETWORKDAYS(M171,N171,holiday!B$4:B$20),"일")</f>
        <v>8일</v>
      </c>
      <c r="M171" s="273">
        <v>46125</v>
      </c>
      <c r="N171" s="273">
        <v>46134</v>
      </c>
      <c r="O171" s="107" t="s">
        <v>68</v>
      </c>
      <c r="P171" s="107" t="s">
        <v>61</v>
      </c>
      <c r="Q171" s="107" t="str">
        <f t="shared" si="56"/>
        <v>허인영</v>
      </c>
      <c r="R171" s="80">
        <f>IF(COUNTBLANK(M171:N171)&gt;0,0,1/NETWORKDAYS(M171,N171,holiday!B$4:B$20)*(IF($S$5&lt;=M171,0,NETWORKDAYS(M171,IF($S$5&gt;N171,N171,$S$5),holiday!B$4:B$20))))</f>
        <v>0</v>
      </c>
      <c r="S171" s="244"/>
      <c r="T171" s="244"/>
      <c r="U171" s="219">
        <v>0</v>
      </c>
      <c r="V171" s="99">
        <v>0.2</v>
      </c>
      <c r="W171" s="81">
        <f t="shared" si="53"/>
        <v>0</v>
      </c>
      <c r="X171" s="82">
        <f t="shared" si="54"/>
        <v>0</v>
      </c>
      <c r="Y171" s="83" t="str">
        <f>IF(N171-$S$5&lt;=0,0,CONCATENATE(NETWORKDAYS($S$5,N171,holiday!$B$4:$B$20)))</f>
        <v>11</v>
      </c>
      <c r="Z171" s="84">
        <f t="shared" si="55"/>
        <v>0</v>
      </c>
      <c r="AA171" s="224"/>
      <c r="AB171" s="228"/>
    </row>
    <row r="172" spans="1:28" s="212" customFormat="1" ht="30" customHeight="1" x14ac:dyDescent="0.3">
      <c r="A172" s="96"/>
      <c r="B172" s="40">
        <v>170</v>
      </c>
      <c r="C172" s="76" t="s">
        <v>547</v>
      </c>
      <c r="D172" s="83">
        <v>4</v>
      </c>
      <c r="E172" s="177"/>
      <c r="F172" s="177"/>
      <c r="G172" s="177"/>
      <c r="H172" s="79"/>
      <c r="I172" s="79" t="s">
        <v>544</v>
      </c>
      <c r="J172" s="79"/>
      <c r="K172" s="79"/>
      <c r="L172" s="77" t="str">
        <f>CONCATENATE(NETWORKDAYS(M172,N172,holiday!B$4:B$20),"일")</f>
        <v>10일</v>
      </c>
      <c r="M172" s="273">
        <v>46118</v>
      </c>
      <c r="N172" s="273">
        <v>46129</v>
      </c>
      <c r="O172" s="107" t="s">
        <v>68</v>
      </c>
      <c r="P172" s="107" t="s">
        <v>61</v>
      </c>
      <c r="Q172" s="107" t="str">
        <f t="shared" si="56"/>
        <v>허인영</v>
      </c>
      <c r="R172" s="80">
        <f>IF(COUNTBLANK(M172:N172)&gt;0,0,1/NETWORKDAYS(M172,N172,holiday!B$4:B$20)*(IF($S$5&lt;=M172,0,NETWORKDAYS(M172,IF($S$5&gt;N172,N172,$S$5),holiday!B$4:B$20))))</f>
        <v>0.30000000000000004</v>
      </c>
      <c r="S172" s="244"/>
      <c r="T172" s="244"/>
      <c r="U172" s="219">
        <f>SUM(X173:X173)</f>
        <v>0</v>
      </c>
      <c r="V172" s="99">
        <v>0.2</v>
      </c>
      <c r="W172" s="81">
        <f t="shared" si="53"/>
        <v>6.0000000000000012E-2</v>
      </c>
      <c r="X172" s="82">
        <f t="shared" si="54"/>
        <v>0</v>
      </c>
      <c r="Y172" s="83" t="str">
        <f>IF(N172-$S$5&lt;=0,0,CONCATENATE(NETWORKDAYS($S$5,N172,holiday!$B$4:$B$20)))</f>
        <v>8</v>
      </c>
      <c r="Z172" s="84">
        <f t="shared" si="55"/>
        <v>-0.30000000000000004</v>
      </c>
      <c r="AA172" s="224"/>
      <c r="AB172" s="228"/>
    </row>
    <row r="173" spans="1:28" s="212" customFormat="1" ht="30" customHeight="1" x14ac:dyDescent="0.3">
      <c r="A173" s="96"/>
      <c r="B173" s="40">
        <v>171</v>
      </c>
      <c r="C173" s="76" t="s">
        <v>548</v>
      </c>
      <c r="D173" s="83">
        <v>4</v>
      </c>
      <c r="E173" s="177"/>
      <c r="F173" s="177"/>
      <c r="G173" s="177"/>
      <c r="H173" s="79"/>
      <c r="I173" s="79" t="s">
        <v>552</v>
      </c>
      <c r="J173" s="79"/>
      <c r="K173" s="79"/>
      <c r="L173" s="77" t="str">
        <f>CONCATENATE(NETWORKDAYS(M173,N173,holiday!B$4:B$20),"일")</f>
        <v>8일</v>
      </c>
      <c r="M173" s="273">
        <v>46113</v>
      </c>
      <c r="N173" s="273">
        <v>46122</v>
      </c>
      <c r="O173" s="107" t="s">
        <v>68</v>
      </c>
      <c r="P173" s="107" t="s">
        <v>61</v>
      </c>
      <c r="Q173" s="107" t="str">
        <f t="shared" si="56"/>
        <v>허인영</v>
      </c>
      <c r="R173" s="80">
        <f>IF(COUNTBLANK(M173:N173)&gt;0,0,1/NETWORKDAYS(M173,N173,holiday!B$4:B$20)*(IF($S$5&lt;=M173,0,NETWORKDAYS(M173,IF($S$5&gt;N173,N173,$S$5),holiday!B$4:B$20))))</f>
        <v>0.75</v>
      </c>
      <c r="S173" s="244"/>
      <c r="T173" s="244"/>
      <c r="U173" s="219">
        <v>0</v>
      </c>
      <c r="V173" s="99">
        <v>0.2</v>
      </c>
      <c r="W173" s="81">
        <f t="shared" si="53"/>
        <v>0.15000000000000002</v>
      </c>
      <c r="X173" s="82">
        <f t="shared" si="54"/>
        <v>0</v>
      </c>
      <c r="Y173" s="83" t="str">
        <f>IF(N173-$S$5&lt;=0,0,CONCATENATE(NETWORKDAYS($S$5,N173,holiday!$B$4:$B$20)))</f>
        <v>3</v>
      </c>
      <c r="Z173" s="84">
        <f t="shared" si="55"/>
        <v>-0.75000000000000011</v>
      </c>
      <c r="AA173" s="224"/>
      <c r="AB173" s="228"/>
    </row>
    <row r="174" spans="1:28" s="212" customFormat="1" ht="30" customHeight="1" x14ac:dyDescent="0.3">
      <c r="A174" s="96"/>
      <c r="B174" s="40">
        <v>173</v>
      </c>
      <c r="C174" s="76" t="s">
        <v>527</v>
      </c>
      <c r="D174" s="83">
        <v>3</v>
      </c>
      <c r="E174" s="177"/>
      <c r="F174" s="177"/>
      <c r="G174" s="177"/>
      <c r="H174" s="233" t="s">
        <v>524</v>
      </c>
      <c r="I174" s="177"/>
      <c r="J174" s="177"/>
      <c r="K174" s="79"/>
      <c r="L174" s="77" t="str">
        <f>CONCATENATE(NETWORKDAYS(M174,N174,holiday!B$4:B$20),"일")</f>
        <v>12일</v>
      </c>
      <c r="M174" s="273">
        <f>MIN(M175:M176)</f>
        <v>46132</v>
      </c>
      <c r="N174" s="273">
        <f>MAX(N175:N176)</f>
        <v>46148</v>
      </c>
      <c r="O174" s="107" t="s">
        <v>68</v>
      </c>
      <c r="P174" s="107" t="s">
        <v>61</v>
      </c>
      <c r="Q174" s="107" t="str">
        <f t="shared" si="56"/>
        <v>허인영</v>
      </c>
      <c r="R174" s="80">
        <f>SUM(W175:W176)</f>
        <v>0</v>
      </c>
      <c r="S174" s="244"/>
      <c r="T174" s="244"/>
      <c r="U174" s="219">
        <f>SUM(X175:X176)</f>
        <v>0</v>
      </c>
      <c r="V174" s="99">
        <v>0.25</v>
      </c>
      <c r="W174" s="81">
        <f t="shared" si="53"/>
        <v>0</v>
      </c>
      <c r="X174" s="82">
        <f t="shared" si="54"/>
        <v>0</v>
      </c>
      <c r="Y174" s="83" t="str">
        <f>IF(N174-$S$5&lt;=0,0,CONCATENATE(NETWORKDAYS($S$5,N174,holiday!$B$4:$B$20)))</f>
        <v>20</v>
      </c>
      <c r="Z174" s="84">
        <f t="shared" si="55"/>
        <v>0</v>
      </c>
      <c r="AA174" s="224"/>
      <c r="AB174" s="228"/>
    </row>
    <row r="175" spans="1:28" s="212" customFormat="1" ht="30" customHeight="1" x14ac:dyDescent="0.3">
      <c r="A175" s="96"/>
      <c r="B175" s="40">
        <v>174</v>
      </c>
      <c r="C175" s="76" t="s">
        <v>557</v>
      </c>
      <c r="D175" s="83">
        <v>4</v>
      </c>
      <c r="E175" s="177"/>
      <c r="F175" s="177"/>
      <c r="G175" s="177"/>
      <c r="H175" s="233"/>
      <c r="I175" s="79" t="s">
        <v>549</v>
      </c>
      <c r="J175" s="79"/>
      <c r="K175" s="79"/>
      <c r="L175" s="77" t="str">
        <f>CONCATENATE(NETWORKDAYS(M175,N175,holiday!B$4:B$20),"일")</f>
        <v>9일</v>
      </c>
      <c r="M175" s="273">
        <v>46132</v>
      </c>
      <c r="N175" s="273">
        <v>46142</v>
      </c>
      <c r="O175" s="107" t="s">
        <v>68</v>
      </c>
      <c r="P175" s="107" t="s">
        <v>61</v>
      </c>
      <c r="Q175" s="107" t="str">
        <f t="shared" si="56"/>
        <v>허인영</v>
      </c>
      <c r="R175" s="80">
        <f>IF(COUNTBLANK(M175:N175)&gt;0,0,1/NETWORKDAYS(M175,N175,holiday!B$4:B$20)*(IF($S$5&lt;=M175,0,NETWORKDAYS(M175,IF($S$5&gt;N175,N175,$S$5),holiday!B$4:B$20))))</f>
        <v>0</v>
      </c>
      <c r="S175" s="244"/>
      <c r="T175" s="244"/>
      <c r="U175" s="219">
        <v>0</v>
      </c>
      <c r="V175" s="99">
        <v>0.25</v>
      </c>
      <c r="W175" s="81">
        <f t="shared" si="53"/>
        <v>0</v>
      </c>
      <c r="X175" s="82">
        <f t="shared" si="54"/>
        <v>0</v>
      </c>
      <c r="Y175" s="83" t="str">
        <f>IF(N175-$S$5&lt;=0,0,CONCATENATE(NETWORKDAYS($S$5,N175,holiday!$B$4:$B$20)))</f>
        <v>17</v>
      </c>
      <c r="Z175" s="84">
        <f t="shared" si="55"/>
        <v>0</v>
      </c>
      <c r="AA175" s="224"/>
      <c r="AB175" s="228"/>
    </row>
    <row r="176" spans="1:28" s="212" customFormat="1" ht="30" customHeight="1" x14ac:dyDescent="0.3">
      <c r="A176" s="96"/>
      <c r="B176" s="40">
        <v>175</v>
      </c>
      <c r="C176" s="76" t="s">
        <v>558</v>
      </c>
      <c r="D176" s="83">
        <v>4</v>
      </c>
      <c r="E176" s="177"/>
      <c r="F176" s="177"/>
      <c r="G176" s="177"/>
      <c r="H176" s="79"/>
      <c r="I176" s="79" t="s">
        <v>554</v>
      </c>
      <c r="J176" s="79"/>
      <c r="K176" s="79"/>
      <c r="L176" s="77" t="str">
        <f>CONCATENATE(NETWORKDAYS(M176,N176,holiday!B$4:B$20),"일")</f>
        <v>9일</v>
      </c>
      <c r="M176" s="273">
        <v>46135</v>
      </c>
      <c r="N176" s="273">
        <v>46148</v>
      </c>
      <c r="O176" s="107" t="s">
        <v>68</v>
      </c>
      <c r="P176" s="107" t="s">
        <v>61</v>
      </c>
      <c r="Q176" s="107" t="str">
        <f t="shared" si="56"/>
        <v>허인영</v>
      </c>
      <c r="R176" s="80">
        <f>IF(COUNTBLANK(M176:N176)&gt;0,0,1/NETWORKDAYS(M176,N176,holiday!B$4:B$20)*(IF($S$5&lt;=M176,0,NETWORKDAYS(M176,IF($S$5&gt;N176,N176,$S$5),holiday!B$4:B$20))))</f>
        <v>0</v>
      </c>
      <c r="S176" s="244"/>
      <c r="T176" s="244"/>
      <c r="U176" s="219">
        <v>0</v>
      </c>
      <c r="V176" s="99">
        <v>0.5</v>
      </c>
      <c r="W176" s="81">
        <f t="shared" si="53"/>
        <v>0</v>
      </c>
      <c r="X176" s="82">
        <f t="shared" si="54"/>
        <v>0</v>
      </c>
      <c r="Y176" s="83" t="str">
        <f>IF(N176-$S$5&lt;=0,0,CONCATENATE(NETWORKDAYS($S$5,N176,holiday!$B$4:$B$20)))</f>
        <v>20</v>
      </c>
      <c r="Z176" s="84">
        <f t="shared" si="55"/>
        <v>0</v>
      </c>
      <c r="AA176" s="224"/>
      <c r="AB176" s="228"/>
    </row>
    <row r="177" spans="1:28" s="212" customFormat="1" ht="30" customHeight="1" x14ac:dyDescent="0.3">
      <c r="A177" s="96"/>
      <c r="B177" s="40">
        <v>176</v>
      </c>
      <c r="C177" s="76" t="s">
        <v>556</v>
      </c>
      <c r="D177" s="83">
        <v>3</v>
      </c>
      <c r="E177" s="177"/>
      <c r="F177" s="177"/>
      <c r="G177" s="177"/>
      <c r="H177" s="233" t="s">
        <v>525</v>
      </c>
      <c r="I177" s="79"/>
      <c r="J177" s="79"/>
      <c r="K177" s="79"/>
      <c r="L177" s="77" t="str">
        <f>CONCATENATE(NETWORKDAYS(M177,N177,holiday!B$4:B$20),"일")</f>
        <v>9일</v>
      </c>
      <c r="M177" s="273">
        <f>MIN(M178:M179)</f>
        <v>46135</v>
      </c>
      <c r="N177" s="273">
        <f>MAX(N178:N179)</f>
        <v>46148</v>
      </c>
      <c r="O177" s="107" t="s">
        <v>68</v>
      </c>
      <c r="P177" s="107" t="s">
        <v>61</v>
      </c>
      <c r="Q177" s="107" t="str">
        <f t="shared" si="56"/>
        <v>허인영</v>
      </c>
      <c r="R177" s="80">
        <f>SUM(W178:W179)</f>
        <v>0</v>
      </c>
      <c r="S177" s="244"/>
      <c r="T177" s="244"/>
      <c r="U177" s="219">
        <f>SUM(X178:X179)</f>
        <v>0</v>
      </c>
      <c r="V177" s="99">
        <v>0.5</v>
      </c>
      <c r="W177" s="81">
        <f t="shared" si="53"/>
        <v>0</v>
      </c>
      <c r="X177" s="82">
        <f t="shared" si="54"/>
        <v>0</v>
      </c>
      <c r="Y177" s="83" t="str">
        <f>IF(N177-$S$5&lt;=0,0,CONCATENATE(NETWORKDAYS($S$5,N177,holiday!$B$4:$B$20)))</f>
        <v>20</v>
      </c>
      <c r="Z177" s="84">
        <f t="shared" si="55"/>
        <v>0</v>
      </c>
      <c r="AA177" s="224"/>
      <c r="AB177" s="228"/>
    </row>
    <row r="178" spans="1:28" s="212" customFormat="1" ht="30" customHeight="1" x14ac:dyDescent="0.3">
      <c r="A178" s="96"/>
      <c r="B178" s="40">
        <v>177</v>
      </c>
      <c r="C178" s="76" t="s">
        <v>559</v>
      </c>
      <c r="D178" s="83">
        <v>4</v>
      </c>
      <c r="E178" s="177"/>
      <c r="F178" s="177"/>
      <c r="G178" s="177"/>
      <c r="H178" s="79"/>
      <c r="I178" s="79" t="s">
        <v>553</v>
      </c>
      <c r="J178" s="79"/>
      <c r="K178" s="79"/>
      <c r="L178" s="77" t="str">
        <f>CONCATENATE(NETWORKDAYS(M178,N178,holiday!B$4:B$20),"일")</f>
        <v>7일</v>
      </c>
      <c r="M178" s="273">
        <v>46139</v>
      </c>
      <c r="N178" s="273">
        <v>46148</v>
      </c>
      <c r="O178" s="107" t="s">
        <v>68</v>
      </c>
      <c r="P178" s="107" t="s">
        <v>61</v>
      </c>
      <c r="Q178" s="107" t="str">
        <f t="shared" si="56"/>
        <v>허인영</v>
      </c>
      <c r="R178" s="80">
        <f>IF(COUNTBLANK(M178:N178)&gt;0,0,1/NETWORKDAYS(M178,N178,holiday!B$4:B$20)*(IF($S$5&lt;=M178,0,NETWORKDAYS(M178,IF($S$5&gt;N178,N178,$S$5),holiday!B$4:B$20))))</f>
        <v>0</v>
      </c>
      <c r="S178" s="244"/>
      <c r="T178" s="244"/>
      <c r="U178" s="219">
        <v>0</v>
      </c>
      <c r="V178" s="99">
        <v>0.5</v>
      </c>
      <c r="W178" s="81">
        <f t="shared" si="53"/>
        <v>0</v>
      </c>
      <c r="X178" s="82">
        <f t="shared" si="54"/>
        <v>0</v>
      </c>
      <c r="Y178" s="83" t="str">
        <f>IF(N178-$S$5&lt;=0,0,CONCATENATE(NETWORKDAYS($S$5,N178,holiday!$B$4:$B$20)))</f>
        <v>20</v>
      </c>
      <c r="Z178" s="84">
        <f t="shared" si="55"/>
        <v>0</v>
      </c>
      <c r="AA178" s="224"/>
      <c r="AB178" s="228"/>
    </row>
    <row r="179" spans="1:28" s="212" customFormat="1" ht="30" customHeight="1" x14ac:dyDescent="0.3">
      <c r="A179" s="96"/>
      <c r="B179" s="40">
        <v>178</v>
      </c>
      <c r="C179" s="76" t="s">
        <v>560</v>
      </c>
      <c r="D179" s="83">
        <v>4</v>
      </c>
      <c r="E179" s="177"/>
      <c r="F179" s="177"/>
      <c r="G179" s="177"/>
      <c r="H179" s="79"/>
      <c r="I179" s="79" t="s">
        <v>555</v>
      </c>
      <c r="J179" s="274"/>
      <c r="K179" s="79"/>
      <c r="L179" s="77" t="str">
        <f>CONCATENATE(NETWORKDAYS(M179,N179,holiday!B$4:B$20),"일")</f>
        <v>9일</v>
      </c>
      <c r="M179" s="273">
        <v>46135</v>
      </c>
      <c r="N179" s="273">
        <v>46148</v>
      </c>
      <c r="O179" s="107" t="s">
        <v>68</v>
      </c>
      <c r="P179" s="107" t="s">
        <v>61</v>
      </c>
      <c r="Q179" s="107" t="str">
        <f t="shared" si="56"/>
        <v>허인영</v>
      </c>
      <c r="R179" s="80">
        <f>IF(COUNTBLANK(M179:N179)&gt;0,0,1/NETWORKDAYS(M179,N179,holiday!B$4:B$20)*(IF($S$5&lt;=M179,0,NETWORKDAYS(M179,IF($S$5&gt;N179,N179,$S$5),holiday!B$4:B$20))))</f>
        <v>0</v>
      </c>
      <c r="S179" s="244"/>
      <c r="T179" s="244"/>
      <c r="U179" s="219">
        <v>0</v>
      </c>
      <c r="V179" s="99">
        <v>0.5</v>
      </c>
      <c r="W179" s="81">
        <f t="shared" si="53"/>
        <v>0</v>
      </c>
      <c r="X179" s="82">
        <f t="shared" si="54"/>
        <v>0</v>
      </c>
      <c r="Y179" s="83" t="str">
        <f>IF(N179-$S$5&lt;=0,0,CONCATENATE(NETWORKDAYS($S$5,N179,holiday!$B$4:$B$20)))</f>
        <v>20</v>
      </c>
      <c r="Z179" s="84">
        <f t="shared" si="55"/>
        <v>0</v>
      </c>
      <c r="AA179" s="224"/>
      <c r="AB179" s="228"/>
    </row>
    <row r="180" spans="1:28" s="93" customFormat="1" ht="30" customHeight="1" outlineLevel="1" x14ac:dyDescent="0.3">
      <c r="B180" s="40">
        <v>203</v>
      </c>
      <c r="C180" s="64" t="s">
        <v>31</v>
      </c>
      <c r="D180" s="72">
        <v>2</v>
      </c>
      <c r="E180" s="66"/>
      <c r="F180" s="190"/>
      <c r="G180" s="190" t="s">
        <v>41</v>
      </c>
      <c r="H180" s="67"/>
      <c r="I180" s="67"/>
      <c r="J180" s="67"/>
      <c r="K180" s="67"/>
      <c r="L180" s="65" t="str">
        <f>CONCATENATE(NETWORKDAYS(M180,N180,holiday!B$4:B$20),"일")</f>
        <v>19일</v>
      </c>
      <c r="M180" s="247">
        <f>MIN(M181,M186)</f>
        <v>46125</v>
      </c>
      <c r="N180" s="247">
        <f>MAX(N181,N186)</f>
        <v>46150</v>
      </c>
      <c r="O180" s="113" t="s">
        <v>68</v>
      </c>
      <c r="P180" s="113" t="s">
        <v>68</v>
      </c>
      <c r="Q180" s="113" t="s">
        <v>243</v>
      </c>
      <c r="R180" s="69">
        <f>SUM(W181,W186)</f>
        <v>0</v>
      </c>
      <c r="S180" s="191"/>
      <c r="T180" s="191"/>
      <c r="U180" s="69">
        <f>SUM(X181,X186)</f>
        <v>0</v>
      </c>
      <c r="V180" s="100">
        <v>0.15</v>
      </c>
      <c r="W180" s="70">
        <f t="shared" ref="W180:W285" si="57">R180*V180</f>
        <v>0</v>
      </c>
      <c r="X180" s="71">
        <f t="shared" si="54"/>
        <v>0</v>
      </c>
      <c r="Y180" s="72" t="str">
        <f>IF(N180-$S$5&lt;=0,0,CONCATENATE(NETWORKDAYS($S$5,N180,holiday!$B$4:$B$20)))</f>
        <v>22</v>
      </c>
      <c r="Z180" s="73">
        <f t="shared" si="55"/>
        <v>0</v>
      </c>
      <c r="AA180" s="74"/>
      <c r="AB180" s="124"/>
    </row>
    <row r="181" spans="1:28" s="202" customFormat="1" ht="30" customHeight="1" outlineLevel="1" x14ac:dyDescent="0.3">
      <c r="A181" s="96"/>
      <c r="B181" s="40">
        <v>204</v>
      </c>
      <c r="C181" s="76" t="s">
        <v>112</v>
      </c>
      <c r="D181" s="83">
        <v>3</v>
      </c>
      <c r="E181" s="78"/>
      <c r="F181" s="177"/>
      <c r="G181" s="177"/>
      <c r="H181" s="233" t="s">
        <v>130</v>
      </c>
      <c r="I181" s="79"/>
      <c r="J181" s="79"/>
      <c r="K181" s="79"/>
      <c r="L181" s="77" t="str">
        <f>CONCATENATE(NETWORKDAYS(M181,N181,holiday!B$4:B$20),"일")</f>
        <v>17일</v>
      </c>
      <c r="M181" s="106">
        <f>MIN(M182,M183,M184,M185)</f>
        <v>46125</v>
      </c>
      <c r="N181" s="106">
        <f>MAX(N182,N183,N184,N185)</f>
        <v>46148</v>
      </c>
      <c r="O181" s="107" t="s">
        <v>68</v>
      </c>
      <c r="P181" s="107" t="s">
        <v>68</v>
      </c>
      <c r="Q181" s="250" t="s">
        <v>243</v>
      </c>
      <c r="R181" s="80">
        <f>SUM(W182:W185)</f>
        <v>0</v>
      </c>
      <c r="S181" s="218"/>
      <c r="T181" s="218"/>
      <c r="U181" s="219">
        <f>SUM(X182:X185)</f>
        <v>0</v>
      </c>
      <c r="V181" s="99">
        <v>0.5</v>
      </c>
      <c r="W181" s="81">
        <f t="shared" si="57"/>
        <v>0</v>
      </c>
      <c r="X181" s="82">
        <f t="shared" si="54"/>
        <v>0</v>
      </c>
      <c r="Y181" s="83" t="str">
        <f>IF(N181-$S$5&lt;=0,0,CONCATENATE(NETWORKDAYS($S$5,N181,holiday!$B$4:$B$20)))</f>
        <v>20</v>
      </c>
      <c r="Z181" s="84">
        <f t="shared" si="55"/>
        <v>0</v>
      </c>
      <c r="AA181" s="85"/>
      <c r="AB181" s="123"/>
    </row>
    <row r="182" spans="1:28" s="202" customFormat="1" ht="30" customHeight="1" outlineLevel="1" x14ac:dyDescent="0.3">
      <c r="A182" s="96"/>
      <c r="B182" s="40">
        <v>207</v>
      </c>
      <c r="C182" s="76" t="s">
        <v>470</v>
      </c>
      <c r="D182" s="83">
        <v>4</v>
      </c>
      <c r="E182" s="78"/>
      <c r="F182" s="177"/>
      <c r="G182" s="177"/>
      <c r="H182" s="79"/>
      <c r="I182" s="79" t="s">
        <v>407</v>
      </c>
      <c r="J182" s="79"/>
      <c r="K182" s="79"/>
      <c r="L182" s="77" t="str">
        <f>CONCATENATE(NETWORKDAYS(M182,N182,holiday!B$4:B$20),"일")</f>
        <v>8일</v>
      </c>
      <c r="M182" s="273">
        <v>46125</v>
      </c>
      <c r="N182" s="273">
        <v>46134</v>
      </c>
      <c r="O182" s="107" t="s">
        <v>68</v>
      </c>
      <c r="P182" s="107" t="s">
        <v>61</v>
      </c>
      <c r="Q182" s="107" t="s">
        <v>406</v>
      </c>
      <c r="R182" s="80">
        <f>IF(COUNTBLANK(M182:N182)&gt;0,0,1/NETWORKDAYS(M182,N182,holiday!B$4:B$20)*(IF($S$5&lt;=M182,0,NETWORKDAYS(M182,IF($S$5&gt;N182,N182,$S$5),holiday!B$4:B$20))))</f>
        <v>0</v>
      </c>
      <c r="S182" s="218"/>
      <c r="T182" s="218"/>
      <c r="U182" s="219">
        <v>0</v>
      </c>
      <c r="V182" s="99">
        <v>0.25</v>
      </c>
      <c r="W182" s="81">
        <f t="shared" si="57"/>
        <v>0</v>
      </c>
      <c r="X182" s="82">
        <f t="shared" si="54"/>
        <v>0</v>
      </c>
      <c r="Y182" s="83" t="str">
        <f>IF(N182-$S$5&lt;=0,0,CONCATENATE(NETWORKDAYS($S$5,N182,holiday!$B$4:$B$20)))</f>
        <v>11</v>
      </c>
      <c r="Z182" s="84">
        <f t="shared" si="55"/>
        <v>0</v>
      </c>
      <c r="AA182" s="85"/>
      <c r="AB182" s="123"/>
    </row>
    <row r="183" spans="1:28" s="202" customFormat="1" ht="30" customHeight="1" outlineLevel="1" x14ac:dyDescent="0.3">
      <c r="A183" s="96"/>
      <c r="B183" s="40">
        <v>208</v>
      </c>
      <c r="C183" s="76" t="s">
        <v>471</v>
      </c>
      <c r="D183" s="83">
        <v>4</v>
      </c>
      <c r="E183" s="78"/>
      <c r="F183" s="177"/>
      <c r="G183" s="177"/>
      <c r="H183" s="79"/>
      <c r="I183" s="79" t="s">
        <v>407</v>
      </c>
      <c r="J183" s="79"/>
      <c r="K183" s="79"/>
      <c r="L183" s="77" t="str">
        <f>CONCATENATE(NETWORKDAYS(M183,N183,holiday!B$4:B$20),"일")</f>
        <v>8일</v>
      </c>
      <c r="M183" s="106">
        <v>46125</v>
      </c>
      <c r="N183" s="106">
        <v>46134</v>
      </c>
      <c r="O183" s="107" t="s">
        <v>68</v>
      </c>
      <c r="P183" s="248" t="s">
        <v>409</v>
      </c>
      <c r="Q183" s="107" t="s">
        <v>405</v>
      </c>
      <c r="R183" s="80">
        <f>IF(COUNTBLANK(M183:N183)&gt;0,0,1/NETWORKDAYS(M183,N183,holiday!B$4:B$20)*(IF($S$5&lt;=M183,0,NETWORKDAYS(M183,IF($S$5&gt;N183,N183,$S$5),holiday!B$4:B$20))))</f>
        <v>0</v>
      </c>
      <c r="S183" s="218"/>
      <c r="T183" s="218"/>
      <c r="U183" s="219">
        <v>0</v>
      </c>
      <c r="V183" s="99">
        <v>0.25</v>
      </c>
      <c r="W183" s="81">
        <f t="shared" si="57"/>
        <v>0</v>
      </c>
      <c r="X183" s="82">
        <f t="shared" si="54"/>
        <v>0</v>
      </c>
      <c r="Y183" s="83" t="str">
        <f>IF(N183-$S$5&lt;=0,0,CONCATENATE(NETWORKDAYS($S$5,N183,holiday!$B$4:$B$20)))</f>
        <v>11</v>
      </c>
      <c r="Z183" s="84">
        <f t="shared" si="55"/>
        <v>0</v>
      </c>
      <c r="AA183" s="85"/>
      <c r="AB183" s="123"/>
    </row>
    <row r="184" spans="1:28" s="202" customFormat="1" ht="30" customHeight="1" outlineLevel="1" x14ac:dyDescent="0.3">
      <c r="A184" s="96"/>
      <c r="B184" s="40">
        <v>209</v>
      </c>
      <c r="C184" s="76" t="s">
        <v>283</v>
      </c>
      <c r="D184" s="83">
        <v>4</v>
      </c>
      <c r="E184" s="78"/>
      <c r="F184" s="177"/>
      <c r="G184" s="177"/>
      <c r="H184" s="79"/>
      <c r="I184" s="79" t="s">
        <v>568</v>
      </c>
      <c r="J184" s="79"/>
      <c r="K184" s="79"/>
      <c r="L184" s="77" t="str">
        <f>CONCATENATE(NETWORKDAYS(M184,N184,holiday!B$4:B$20),"일")</f>
        <v>9일</v>
      </c>
      <c r="M184" s="273">
        <v>46135</v>
      </c>
      <c r="N184" s="273">
        <v>46148</v>
      </c>
      <c r="O184" s="107" t="s">
        <v>68</v>
      </c>
      <c r="P184" s="107" t="s">
        <v>61</v>
      </c>
      <c r="Q184" s="107" t="s">
        <v>406</v>
      </c>
      <c r="R184" s="80">
        <f>IF(COUNTBLANK(M184:N184)&gt;0,0,1/NETWORKDAYS(M184,N184,holiday!B$4:B$20)*(IF($S$5&lt;=M184,0,NETWORKDAYS(M184,IF($S$5&gt;N184,N184,$S$5),holiday!B$4:B$20))))</f>
        <v>0</v>
      </c>
      <c r="S184" s="218"/>
      <c r="T184" s="218"/>
      <c r="U184" s="219">
        <v>0</v>
      </c>
      <c r="V184" s="99">
        <v>0.25</v>
      </c>
      <c r="W184" s="81">
        <f t="shared" ref="W184" si="58">R184*V184</f>
        <v>0</v>
      </c>
      <c r="X184" s="82">
        <f t="shared" si="54"/>
        <v>0</v>
      </c>
      <c r="Y184" s="83" t="str">
        <f>IF(N184-$S$5&lt;=0,0,CONCATENATE(NETWORKDAYS($S$5,N184,holiday!$B$4:$B$20)))</f>
        <v>20</v>
      </c>
      <c r="Z184" s="84">
        <f t="shared" si="55"/>
        <v>0</v>
      </c>
      <c r="AA184" s="85"/>
      <c r="AB184" s="123"/>
    </row>
    <row r="185" spans="1:28" s="202" customFormat="1" ht="30" customHeight="1" outlineLevel="1" x14ac:dyDescent="0.3">
      <c r="A185" s="96"/>
      <c r="B185" s="40">
        <v>210</v>
      </c>
      <c r="C185" s="76" t="s">
        <v>283</v>
      </c>
      <c r="D185" s="83">
        <v>4</v>
      </c>
      <c r="E185" s="78"/>
      <c r="F185" s="177"/>
      <c r="G185" s="177"/>
      <c r="H185" s="79"/>
      <c r="I185" s="79" t="s">
        <v>568</v>
      </c>
      <c r="J185" s="79"/>
      <c r="K185" s="79"/>
      <c r="L185" s="77" t="str">
        <f>CONCATENATE(NETWORKDAYS(M185,N185,holiday!B$4:B$20),"일")</f>
        <v>9일</v>
      </c>
      <c r="M185" s="106">
        <v>46135</v>
      </c>
      <c r="N185" s="106">
        <v>46148</v>
      </c>
      <c r="O185" s="107" t="s">
        <v>68</v>
      </c>
      <c r="P185" s="248" t="s">
        <v>408</v>
      </c>
      <c r="Q185" s="107" t="s">
        <v>244</v>
      </c>
      <c r="R185" s="80">
        <f>IF(COUNTBLANK(M185:N185)&gt;0,0,1/NETWORKDAYS(M185,N185,holiday!B$4:B$20)*(IF($S$5&lt;=M185,0,NETWORKDAYS(M185,IF($S$5&gt;N185,N185,$S$5),holiday!B$4:B$20))))</f>
        <v>0</v>
      </c>
      <c r="S185" s="218"/>
      <c r="T185" s="218"/>
      <c r="U185" s="219">
        <v>0</v>
      </c>
      <c r="V185" s="99">
        <v>0.25</v>
      </c>
      <c r="W185" s="81">
        <f t="shared" si="57"/>
        <v>0</v>
      </c>
      <c r="X185" s="82">
        <f t="shared" si="54"/>
        <v>0</v>
      </c>
      <c r="Y185" s="83" t="str">
        <f>IF(N185-$S$5&lt;=0,0,CONCATENATE(NETWORKDAYS($S$5,N185,holiday!$B$4:$B$20)))</f>
        <v>20</v>
      </c>
      <c r="Z185" s="84">
        <f t="shared" si="55"/>
        <v>0</v>
      </c>
      <c r="AA185" s="85"/>
      <c r="AB185" s="123"/>
    </row>
    <row r="186" spans="1:28" s="202" customFormat="1" ht="30" customHeight="1" outlineLevel="1" x14ac:dyDescent="0.3">
      <c r="A186" s="96"/>
      <c r="B186" s="40">
        <v>211</v>
      </c>
      <c r="C186" s="76" t="s">
        <v>106</v>
      </c>
      <c r="D186" s="83">
        <v>3</v>
      </c>
      <c r="E186" s="78"/>
      <c r="F186" s="177"/>
      <c r="G186" s="177"/>
      <c r="H186" s="233" t="s">
        <v>131</v>
      </c>
      <c r="I186" s="79"/>
      <c r="J186" s="79"/>
      <c r="K186" s="79"/>
      <c r="L186" s="77" t="str">
        <f>CONCATENATE(NETWORKDAYS(M186,N186,holiday!B$4:B$20),"일")</f>
        <v>2일</v>
      </c>
      <c r="M186" s="106">
        <f>MIN(M187,M188,M189,M190)</f>
        <v>46149</v>
      </c>
      <c r="N186" s="106">
        <f>MAX(N187,N188,N189,N190)</f>
        <v>46150</v>
      </c>
      <c r="O186" s="107" t="s">
        <v>68</v>
      </c>
      <c r="P186" s="107" t="s">
        <v>68</v>
      </c>
      <c r="Q186" s="107" t="s">
        <v>243</v>
      </c>
      <c r="R186" s="80">
        <f>SUM(W187:W190)</f>
        <v>0</v>
      </c>
      <c r="S186" s="218"/>
      <c r="T186" s="218"/>
      <c r="U186" s="219">
        <f>SUM(X187:X190)</f>
        <v>0</v>
      </c>
      <c r="V186" s="99">
        <v>0.5</v>
      </c>
      <c r="W186" s="81">
        <f t="shared" si="57"/>
        <v>0</v>
      </c>
      <c r="X186" s="82">
        <f t="shared" si="54"/>
        <v>0</v>
      </c>
      <c r="Y186" s="83" t="str">
        <f>IF(N186-$S$5&lt;=0,0,CONCATENATE(NETWORKDAYS($S$5,N186,holiday!$B$4:$B$20)))</f>
        <v>22</v>
      </c>
      <c r="Z186" s="84">
        <f t="shared" si="55"/>
        <v>0</v>
      </c>
      <c r="AA186" s="85"/>
      <c r="AB186" s="123"/>
    </row>
    <row r="187" spans="1:28" s="202" customFormat="1" ht="30" customHeight="1" outlineLevel="1" x14ac:dyDescent="0.3">
      <c r="A187" s="96"/>
      <c r="B187" s="40">
        <v>214</v>
      </c>
      <c r="C187" s="76" t="s">
        <v>472</v>
      </c>
      <c r="D187" s="83">
        <v>4</v>
      </c>
      <c r="E187" s="78"/>
      <c r="F187" s="177"/>
      <c r="G187" s="177"/>
      <c r="H187" s="79"/>
      <c r="I187" s="79" t="s">
        <v>407</v>
      </c>
      <c r="J187" s="79"/>
      <c r="K187" s="79"/>
      <c r="L187" s="77" t="str">
        <f>CONCATENATE(NETWORKDAYS(M187,N187,holiday!B$4:B$20),"일")</f>
        <v>2일</v>
      </c>
      <c r="M187" s="273">
        <v>46149</v>
      </c>
      <c r="N187" s="273">
        <v>46150</v>
      </c>
      <c r="O187" s="107" t="s">
        <v>68</v>
      </c>
      <c r="P187" s="107" t="s">
        <v>61</v>
      </c>
      <c r="Q187" s="107" t="s">
        <v>406</v>
      </c>
      <c r="R187" s="80">
        <f>IF(COUNTBLANK(M187:N187)&gt;0,0,1/NETWORKDAYS(M187,N187,holiday!B$4:B$20)*(IF($S$5&lt;=M187,0,NETWORKDAYS(M187,IF($S$5&gt;N187,N187,$S$5),holiday!B$4:B$20))))</f>
        <v>0</v>
      </c>
      <c r="S187" s="218"/>
      <c r="T187" s="218"/>
      <c r="U187" s="219">
        <v>0</v>
      </c>
      <c r="V187" s="99">
        <v>0.25</v>
      </c>
      <c r="W187" s="81">
        <f t="shared" si="57"/>
        <v>0</v>
      </c>
      <c r="X187" s="82">
        <f t="shared" si="54"/>
        <v>0</v>
      </c>
      <c r="Y187" s="83" t="str">
        <f>IF(N187-$S$5&lt;=0,0,CONCATENATE(NETWORKDAYS($S$5,N187,holiday!$B$4:$B$20)))</f>
        <v>22</v>
      </c>
      <c r="Z187" s="84">
        <f t="shared" si="55"/>
        <v>0</v>
      </c>
      <c r="AA187" s="85"/>
      <c r="AB187" s="123"/>
    </row>
    <row r="188" spans="1:28" s="202" customFormat="1" ht="30" customHeight="1" outlineLevel="1" x14ac:dyDescent="0.3">
      <c r="A188" s="96"/>
      <c r="B188" s="40">
        <v>215</v>
      </c>
      <c r="C188" s="76" t="s">
        <v>473</v>
      </c>
      <c r="D188" s="83">
        <v>4</v>
      </c>
      <c r="E188" s="78"/>
      <c r="F188" s="177"/>
      <c r="G188" s="177"/>
      <c r="H188" s="79"/>
      <c r="I188" s="79" t="s">
        <v>407</v>
      </c>
      <c r="J188" s="79"/>
      <c r="K188" s="79"/>
      <c r="L188" s="77" t="str">
        <f>CONCATENATE(NETWORKDAYS(M188,N188,holiday!B$4:B$20),"일")</f>
        <v>2일</v>
      </c>
      <c r="M188" s="106">
        <v>46149</v>
      </c>
      <c r="N188" s="106">
        <v>46150</v>
      </c>
      <c r="O188" s="107" t="s">
        <v>68</v>
      </c>
      <c r="P188" s="248" t="s">
        <v>409</v>
      </c>
      <c r="Q188" s="107" t="s">
        <v>405</v>
      </c>
      <c r="R188" s="80">
        <f>IF(COUNTBLANK(M188:N188)&gt;0,0,1/NETWORKDAYS(M188,N188,holiday!B$4:B$20)*(IF($S$5&lt;=M188,0,NETWORKDAYS(M188,IF($S$5&gt;N188,N188,$S$5),holiday!B$4:B$20))))</f>
        <v>0</v>
      </c>
      <c r="S188" s="218"/>
      <c r="T188" s="218"/>
      <c r="U188" s="219">
        <v>0</v>
      </c>
      <c r="V188" s="99">
        <v>0.25</v>
      </c>
      <c r="W188" s="81">
        <f t="shared" si="57"/>
        <v>0</v>
      </c>
      <c r="X188" s="82">
        <f t="shared" si="54"/>
        <v>0</v>
      </c>
      <c r="Y188" s="83" t="str">
        <f>IF(N188-$S$5&lt;=0,0,CONCATENATE(NETWORKDAYS($S$5,N188,holiday!$B$4:$B$20)))</f>
        <v>22</v>
      </c>
      <c r="Z188" s="84">
        <f t="shared" si="55"/>
        <v>0</v>
      </c>
      <c r="AA188" s="85"/>
      <c r="AB188" s="123"/>
    </row>
    <row r="189" spans="1:28" s="202" customFormat="1" ht="30" customHeight="1" outlineLevel="1" x14ac:dyDescent="0.3">
      <c r="A189" s="96"/>
      <c r="B189" s="40">
        <v>216</v>
      </c>
      <c r="C189" s="76" t="s">
        <v>284</v>
      </c>
      <c r="D189" s="83">
        <v>4</v>
      </c>
      <c r="E189" s="78"/>
      <c r="F189" s="177"/>
      <c r="G189" s="177"/>
      <c r="H189" s="79"/>
      <c r="I189" s="79" t="s">
        <v>568</v>
      </c>
      <c r="J189" s="79"/>
      <c r="K189" s="79"/>
      <c r="L189" s="77" t="str">
        <f>CONCATENATE(NETWORKDAYS(M189,N189,holiday!B$4:B$20),"일")</f>
        <v>2일</v>
      </c>
      <c r="M189" s="273">
        <v>46149</v>
      </c>
      <c r="N189" s="273">
        <v>46150</v>
      </c>
      <c r="O189" s="107" t="s">
        <v>68</v>
      </c>
      <c r="P189" s="107" t="s">
        <v>61</v>
      </c>
      <c r="Q189" s="107" t="s">
        <v>406</v>
      </c>
      <c r="R189" s="80">
        <f>IF(COUNTBLANK(M189:N189)&gt;0,0,1/NETWORKDAYS(M189,N189,holiday!B$4:B$20)*(IF($S$5&lt;=M189,0,NETWORKDAYS(M189,IF($S$5&gt;N189,N189,$S$5),holiday!B$4:B$20))))</f>
        <v>0</v>
      </c>
      <c r="S189" s="218"/>
      <c r="T189" s="218"/>
      <c r="U189" s="219">
        <v>0</v>
      </c>
      <c r="V189" s="99">
        <v>0.25</v>
      </c>
      <c r="W189" s="81">
        <f t="shared" si="57"/>
        <v>0</v>
      </c>
      <c r="X189" s="82">
        <f t="shared" si="54"/>
        <v>0</v>
      </c>
      <c r="Y189" s="83" t="str">
        <f>IF(N189-$S$5&lt;=0,0,CONCATENATE(NETWORKDAYS($S$5,N189,holiday!$B$4:$B$20)))</f>
        <v>22</v>
      </c>
      <c r="Z189" s="84">
        <f t="shared" si="55"/>
        <v>0</v>
      </c>
      <c r="AA189" s="85"/>
      <c r="AB189" s="123"/>
    </row>
    <row r="190" spans="1:28" s="202" customFormat="1" ht="30" customHeight="1" outlineLevel="1" x14ac:dyDescent="0.3">
      <c r="A190" s="96"/>
      <c r="B190" s="40">
        <v>217</v>
      </c>
      <c r="C190" s="76" t="s">
        <v>285</v>
      </c>
      <c r="D190" s="83">
        <v>4</v>
      </c>
      <c r="E190" s="78"/>
      <c r="F190" s="177"/>
      <c r="G190" s="177"/>
      <c r="H190" s="79"/>
      <c r="I190" s="79" t="s">
        <v>568</v>
      </c>
      <c r="J190" s="79"/>
      <c r="K190" s="79"/>
      <c r="L190" s="77" t="str">
        <f>CONCATENATE(NETWORKDAYS(M190,N190,holiday!B$4:B$20),"일")</f>
        <v>2일</v>
      </c>
      <c r="M190" s="106">
        <v>46149</v>
      </c>
      <c r="N190" s="106">
        <v>46150</v>
      </c>
      <c r="O190" s="107" t="s">
        <v>68</v>
      </c>
      <c r="P190" s="248" t="s">
        <v>408</v>
      </c>
      <c r="Q190" s="107" t="s">
        <v>244</v>
      </c>
      <c r="R190" s="80">
        <f>IF(COUNTBLANK(M190:N190)&gt;0,0,1/NETWORKDAYS(M190,N190,holiday!B$4:B$20)*(IF($S$5&lt;=M190,0,NETWORKDAYS(M190,IF($S$5&gt;N190,N190,$S$5),holiday!B$4:B$20))))</f>
        <v>0</v>
      </c>
      <c r="S190" s="218"/>
      <c r="T190" s="218"/>
      <c r="U190" s="219">
        <v>0</v>
      </c>
      <c r="V190" s="99">
        <v>0.25</v>
      </c>
      <c r="W190" s="81">
        <f t="shared" si="57"/>
        <v>0</v>
      </c>
      <c r="X190" s="82">
        <f t="shared" si="54"/>
        <v>0</v>
      </c>
      <c r="Y190" s="83" t="str">
        <f>IF(N190-$S$5&lt;=0,0,CONCATENATE(NETWORKDAYS($S$5,N190,holiday!$B$4:$B$20)))</f>
        <v>22</v>
      </c>
      <c r="Z190" s="84">
        <f t="shared" si="55"/>
        <v>0</v>
      </c>
      <c r="AA190" s="85"/>
      <c r="AB190" s="123"/>
    </row>
    <row r="191" spans="1:28" s="93" customFormat="1" ht="30" customHeight="1" outlineLevel="1" x14ac:dyDescent="0.3">
      <c r="B191" s="40">
        <v>218</v>
      </c>
      <c r="C191" s="64" t="s">
        <v>286</v>
      </c>
      <c r="D191" s="72">
        <v>2</v>
      </c>
      <c r="E191" s="66"/>
      <c r="F191" s="190"/>
      <c r="G191" s="190" t="s">
        <v>201</v>
      </c>
      <c r="H191" s="67"/>
      <c r="I191" s="67"/>
      <c r="J191" s="67"/>
      <c r="K191" s="67"/>
      <c r="L191" s="65" t="str">
        <f>CONCATENATE(NETWORKDAYS(M191,N191,holiday!B$4:B$20),"일")</f>
        <v>56일</v>
      </c>
      <c r="M191" s="247">
        <f>MIN(M192,M195,M197)</f>
        <v>46113</v>
      </c>
      <c r="N191" s="247">
        <f>MAX(N192,N195,N197)</f>
        <v>46193</v>
      </c>
      <c r="O191" s="245" t="s">
        <v>68</v>
      </c>
      <c r="P191" s="113" t="s">
        <v>68</v>
      </c>
      <c r="Q191" s="113" t="s">
        <v>243</v>
      </c>
      <c r="R191" s="69">
        <f>SUM(W192,W195,W197)</f>
        <v>3.6585365853658541E-2</v>
      </c>
      <c r="S191" s="247"/>
      <c r="T191" s="247"/>
      <c r="U191" s="69">
        <f>SUM(X192,X195,X197)</f>
        <v>0</v>
      </c>
      <c r="V191" s="100">
        <v>0.15</v>
      </c>
      <c r="W191" s="70">
        <f t="shared" si="57"/>
        <v>5.487804878048781E-3</v>
      </c>
      <c r="X191" s="71">
        <f t="shared" si="54"/>
        <v>0</v>
      </c>
      <c r="Y191" s="72" t="str">
        <f>IF(N191-$S$5&lt;=0,0,CONCATENATE(NETWORKDAYS($S$5,N191,holiday!$B$4:$B$20)))</f>
        <v>51</v>
      </c>
      <c r="Z191" s="73">
        <f t="shared" si="55"/>
        <v>-3.6585365853658541E-2</v>
      </c>
      <c r="AA191" s="74"/>
      <c r="AB191" s="124"/>
    </row>
    <row r="192" spans="1:28" s="202" customFormat="1" ht="30" customHeight="1" outlineLevel="1" x14ac:dyDescent="0.3">
      <c r="A192" s="96"/>
      <c r="B192" s="40">
        <v>219</v>
      </c>
      <c r="C192" s="76" t="s">
        <v>287</v>
      </c>
      <c r="D192" s="83">
        <v>3</v>
      </c>
      <c r="E192" s="78"/>
      <c r="F192" s="177"/>
      <c r="G192" s="177"/>
      <c r="H192" s="233" t="s">
        <v>90</v>
      </c>
      <c r="I192" s="79"/>
      <c r="J192" s="79"/>
      <c r="K192" s="79"/>
      <c r="L192" s="77" t="str">
        <f>CONCATENATE(NETWORKDAYS(M192,N192,holiday!B$4:B$20),"일")</f>
        <v>22일</v>
      </c>
      <c r="M192" s="106">
        <f>MIN(M193:M194)</f>
        <v>46162</v>
      </c>
      <c r="N192" s="106">
        <f>MAX(N193:N194)</f>
        <v>46193</v>
      </c>
      <c r="O192" s="107" t="s">
        <v>68</v>
      </c>
      <c r="P192" s="107" t="s">
        <v>68</v>
      </c>
      <c r="Q192" s="107" t="s">
        <v>243</v>
      </c>
      <c r="R192" s="80">
        <f>SUM(W193:W194)</f>
        <v>0</v>
      </c>
      <c r="S192" s="218"/>
      <c r="T192" s="218"/>
      <c r="U192" s="219">
        <f>SUM(X193:X194)</f>
        <v>0</v>
      </c>
      <c r="V192" s="99">
        <v>0.25</v>
      </c>
      <c r="W192" s="81">
        <f t="shared" si="57"/>
        <v>0</v>
      </c>
      <c r="X192" s="82">
        <f t="shared" si="54"/>
        <v>0</v>
      </c>
      <c r="Y192" s="83" t="str">
        <f>IF(N192-$S$5&lt;=0,0,CONCATENATE(NETWORKDAYS($S$5,N192,holiday!$B$4:$B$20)))</f>
        <v>51</v>
      </c>
      <c r="Z192" s="84">
        <f t="shared" si="55"/>
        <v>0</v>
      </c>
      <c r="AA192" s="85"/>
      <c r="AB192" s="123"/>
    </row>
    <row r="193" spans="1:28" s="202" customFormat="1" ht="30" customHeight="1" outlineLevel="1" x14ac:dyDescent="0.3">
      <c r="A193" s="96"/>
      <c r="B193" s="40">
        <v>220</v>
      </c>
      <c r="C193" s="76" t="s">
        <v>288</v>
      </c>
      <c r="D193" s="83">
        <v>4</v>
      </c>
      <c r="E193" s="78"/>
      <c r="F193" s="177"/>
      <c r="G193" s="177"/>
      <c r="H193" s="79"/>
      <c r="I193" s="79" t="s">
        <v>44</v>
      </c>
      <c r="J193" s="79"/>
      <c r="K193" s="79"/>
      <c r="L193" s="77" t="str">
        <f>CONCATENATE(NETWORKDAYS(M193,N193,holiday!B$4:B$20),"일")</f>
        <v>22일</v>
      </c>
      <c r="M193" s="106">
        <v>46162</v>
      </c>
      <c r="N193" s="106">
        <v>46193</v>
      </c>
      <c r="O193" s="107" t="s">
        <v>68</v>
      </c>
      <c r="P193" s="107" t="s">
        <v>68</v>
      </c>
      <c r="Q193" s="107" t="s">
        <v>243</v>
      </c>
      <c r="R193" s="80">
        <f>IF(COUNTBLANK(M193:N193)&gt;0,0,1/NETWORKDAYS(M193,N193,holiday!B$4:B$20)*(IF($S$5&lt;=M193,0,NETWORKDAYS(M193,IF($S$5&gt;N193,N193,$S$5),holiday!B$4:B$20))))</f>
        <v>0</v>
      </c>
      <c r="S193" s="218"/>
      <c r="T193" s="218"/>
      <c r="U193" s="219">
        <v>0</v>
      </c>
      <c r="V193" s="99">
        <v>0.5</v>
      </c>
      <c r="W193" s="81">
        <f t="shared" si="57"/>
        <v>0</v>
      </c>
      <c r="X193" s="82">
        <f t="shared" si="54"/>
        <v>0</v>
      </c>
      <c r="Y193" s="83" t="str">
        <f>IF(N193-$S$5&lt;=0,0,CONCATENATE(NETWORKDAYS($S$5,N193,holiday!$B$4:$B$20)))</f>
        <v>51</v>
      </c>
      <c r="Z193" s="84">
        <f t="shared" si="55"/>
        <v>0</v>
      </c>
      <c r="AA193" s="85"/>
      <c r="AB193" s="123"/>
    </row>
    <row r="194" spans="1:28" s="202" customFormat="1" ht="30" customHeight="1" outlineLevel="1" x14ac:dyDescent="0.3">
      <c r="A194" s="96"/>
      <c r="B194" s="40">
        <v>221</v>
      </c>
      <c r="C194" s="76" t="s">
        <v>289</v>
      </c>
      <c r="D194" s="83">
        <v>4</v>
      </c>
      <c r="E194" s="78"/>
      <c r="F194" s="177"/>
      <c r="G194" s="177"/>
      <c r="H194" s="79"/>
      <c r="I194" s="79" t="s">
        <v>85</v>
      </c>
      <c r="J194" s="79"/>
      <c r="K194" s="79"/>
      <c r="L194" s="77" t="str">
        <f>CONCATENATE(NETWORKDAYS(M194,N194,holiday!B$4:B$20),"일")</f>
        <v>7일</v>
      </c>
      <c r="M194" s="106">
        <v>46162</v>
      </c>
      <c r="N194" s="106">
        <v>46171</v>
      </c>
      <c r="O194" s="107" t="s">
        <v>68</v>
      </c>
      <c r="P194" s="107" t="s">
        <v>68</v>
      </c>
      <c r="Q194" s="107" t="s">
        <v>243</v>
      </c>
      <c r="R194" s="80">
        <f>IF(COUNTBLANK(M194:N194)&gt;0,0,1/NETWORKDAYS(M194,N194,holiday!B$4:B$20)*(IF($S$5&lt;=M194,0,NETWORKDAYS(M194,IF($S$5&gt;N194,N194,$S$5),holiday!B$4:B$20))))</f>
        <v>0</v>
      </c>
      <c r="S194" s="218"/>
      <c r="T194" s="218"/>
      <c r="U194" s="219">
        <v>0</v>
      </c>
      <c r="V194" s="99">
        <v>0.5</v>
      </c>
      <c r="W194" s="81">
        <f t="shared" si="57"/>
        <v>0</v>
      </c>
      <c r="X194" s="82">
        <f t="shared" si="54"/>
        <v>0</v>
      </c>
      <c r="Y194" s="83" t="str">
        <f>IF(N194-$S$5&lt;=0,0,CONCATENATE(NETWORKDAYS($S$5,N194,holiday!$B$4:$B$20)))</f>
        <v>36</v>
      </c>
      <c r="Z194" s="84">
        <f t="shared" si="55"/>
        <v>0</v>
      </c>
      <c r="AA194" s="85"/>
      <c r="AB194" s="123"/>
    </row>
    <row r="195" spans="1:28" s="202" customFormat="1" ht="30" customHeight="1" outlineLevel="1" x14ac:dyDescent="0.3">
      <c r="A195" s="96"/>
      <c r="B195" s="40">
        <v>222</v>
      </c>
      <c r="C195" s="76" t="s">
        <v>290</v>
      </c>
      <c r="D195" s="83">
        <v>3</v>
      </c>
      <c r="E195" s="78"/>
      <c r="F195" s="177"/>
      <c r="G195" s="177"/>
      <c r="H195" s="233" t="s">
        <v>506</v>
      </c>
      <c r="I195" s="79"/>
      <c r="J195" s="79"/>
      <c r="K195" s="79"/>
      <c r="L195" s="77" t="str">
        <f>CONCATENATE(NETWORKDAYS(M195,N195,holiday!B$4:B$20),"일")</f>
        <v>41일</v>
      </c>
      <c r="M195" s="106">
        <f>MIN(M196)</f>
        <v>46113</v>
      </c>
      <c r="N195" s="106">
        <f>MAX(N196)</f>
        <v>46171</v>
      </c>
      <c r="O195" s="107" t="s">
        <v>68</v>
      </c>
      <c r="P195" s="248" t="s">
        <v>183</v>
      </c>
      <c r="Q195" s="107" t="s">
        <v>414</v>
      </c>
      <c r="R195" s="80">
        <f>SUM(W196)</f>
        <v>0.14634146341463417</v>
      </c>
      <c r="S195" s="218"/>
      <c r="T195" s="218"/>
      <c r="U195" s="219">
        <f>SUM(X196)</f>
        <v>0</v>
      </c>
      <c r="V195" s="99">
        <v>0.25</v>
      </c>
      <c r="W195" s="81">
        <f t="shared" si="57"/>
        <v>3.6585365853658541E-2</v>
      </c>
      <c r="X195" s="82">
        <f t="shared" si="54"/>
        <v>0</v>
      </c>
      <c r="Y195" s="83" t="str">
        <f>IF(N195-$S$5&lt;=0,0,CONCATENATE(NETWORKDAYS($S$5,N195,holiday!$B$4:$B$20)))</f>
        <v>36</v>
      </c>
      <c r="Z195" s="84">
        <f t="shared" si="55"/>
        <v>-0.14634146341463417</v>
      </c>
      <c r="AA195" s="85"/>
      <c r="AB195" s="123"/>
    </row>
    <row r="196" spans="1:28" s="202" customFormat="1" ht="30" customHeight="1" outlineLevel="1" x14ac:dyDescent="0.3">
      <c r="A196" s="96"/>
      <c r="B196" s="40">
        <v>223</v>
      </c>
      <c r="C196" s="76" t="s">
        <v>291</v>
      </c>
      <c r="D196" s="83">
        <v>4</v>
      </c>
      <c r="E196" s="78"/>
      <c r="F196" s="177"/>
      <c r="G196" s="177"/>
      <c r="H196" s="79"/>
      <c r="I196" s="79" t="s">
        <v>507</v>
      </c>
      <c r="J196" s="79"/>
      <c r="K196" s="79"/>
      <c r="L196" s="77" t="str">
        <f>CONCATENATE(NETWORKDAYS(M196,N196,holiday!B$4:B$20),"일")</f>
        <v>41일</v>
      </c>
      <c r="M196" s="106">
        <v>46113</v>
      </c>
      <c r="N196" s="106">
        <v>46171</v>
      </c>
      <c r="O196" s="107" t="s">
        <v>68</v>
      </c>
      <c r="P196" s="248" t="s">
        <v>183</v>
      </c>
      <c r="Q196" s="107" t="s">
        <v>414</v>
      </c>
      <c r="R196" s="80">
        <f>IF(COUNTBLANK(M196:N196)&gt;0,0,1/NETWORKDAYS(M196,N196,holiday!B$4:B$20)*(IF($S$5&lt;=M196,0,NETWORKDAYS(M196,IF($S$5&gt;N196,N196,$S$5),holiday!B$4:B$20))))</f>
        <v>0.14634146341463417</v>
      </c>
      <c r="S196" s="218"/>
      <c r="T196" s="218"/>
      <c r="U196" s="219">
        <v>0</v>
      </c>
      <c r="V196" s="99">
        <v>1</v>
      </c>
      <c r="W196" s="81">
        <f t="shared" si="57"/>
        <v>0.14634146341463417</v>
      </c>
      <c r="X196" s="82">
        <f t="shared" si="54"/>
        <v>0</v>
      </c>
      <c r="Y196" s="83" t="str">
        <f>IF(N196-$S$5&lt;=0,0,CONCATENATE(NETWORKDAYS($S$5,N196,holiday!$B$4:$B$20)))</f>
        <v>36</v>
      </c>
      <c r="Z196" s="84">
        <f t="shared" si="55"/>
        <v>-0.14634146341463417</v>
      </c>
      <c r="AA196" s="85"/>
      <c r="AB196" s="123"/>
    </row>
    <row r="197" spans="1:28" s="202" customFormat="1" ht="30" customHeight="1" outlineLevel="1" x14ac:dyDescent="0.3">
      <c r="A197" s="96"/>
      <c r="B197" s="40">
        <v>224</v>
      </c>
      <c r="C197" s="76" t="s">
        <v>292</v>
      </c>
      <c r="D197" s="83">
        <v>3</v>
      </c>
      <c r="E197" s="78"/>
      <c r="F197" s="177"/>
      <c r="G197" s="177"/>
      <c r="H197" s="233" t="s">
        <v>508</v>
      </c>
      <c r="I197" s="79"/>
      <c r="J197" s="79"/>
      <c r="K197" s="79"/>
      <c r="L197" s="77" t="str">
        <f>CONCATENATE(NETWORKDAYS(M197,N197,holiday!B$4:B$20),"일")</f>
        <v>22일</v>
      </c>
      <c r="M197" s="106">
        <f>MIN(M198,M199)</f>
        <v>46162</v>
      </c>
      <c r="N197" s="106">
        <f>MAX(N198,N199)</f>
        <v>46193</v>
      </c>
      <c r="O197" s="107" t="s">
        <v>68</v>
      </c>
      <c r="P197" s="248" t="s">
        <v>75</v>
      </c>
      <c r="Q197" s="107" t="s">
        <v>244</v>
      </c>
      <c r="R197" s="80">
        <f>SUM(W198:W199)</f>
        <v>0</v>
      </c>
      <c r="S197" s="218"/>
      <c r="T197" s="218"/>
      <c r="U197" s="219">
        <f>SUM(X198:X199)</f>
        <v>0</v>
      </c>
      <c r="V197" s="99">
        <v>0.25</v>
      </c>
      <c r="W197" s="81">
        <f t="shared" si="57"/>
        <v>0</v>
      </c>
      <c r="X197" s="82">
        <f t="shared" si="54"/>
        <v>0</v>
      </c>
      <c r="Y197" s="83" t="str">
        <f>IF(N197-$S$5&lt;=0,0,CONCATENATE(NETWORKDAYS($S$5,N197,holiday!$B$4:$B$20)))</f>
        <v>51</v>
      </c>
      <c r="Z197" s="84">
        <f t="shared" si="55"/>
        <v>0</v>
      </c>
      <c r="AA197" s="85"/>
      <c r="AB197" s="123"/>
    </row>
    <row r="198" spans="1:28" s="202" customFormat="1" ht="30" customHeight="1" outlineLevel="1" x14ac:dyDescent="0.3">
      <c r="A198" s="96"/>
      <c r="B198" s="40">
        <v>225</v>
      </c>
      <c r="C198" s="76" t="s">
        <v>288</v>
      </c>
      <c r="D198" s="83">
        <v>4</v>
      </c>
      <c r="E198" s="78"/>
      <c r="F198" s="177"/>
      <c r="G198" s="177"/>
      <c r="H198" s="79"/>
      <c r="I198" s="79" t="s">
        <v>44</v>
      </c>
      <c r="J198" s="79"/>
      <c r="K198" s="79"/>
      <c r="L198" s="77" t="str">
        <f>CONCATENATE(NETWORKDAYS(M198,N198,holiday!B$4:B$20),"일")</f>
        <v>22일</v>
      </c>
      <c r="M198" s="106">
        <v>46162</v>
      </c>
      <c r="N198" s="106">
        <v>46193</v>
      </c>
      <c r="O198" s="107" t="s">
        <v>68</v>
      </c>
      <c r="P198" s="107" t="s">
        <v>68</v>
      </c>
      <c r="Q198" s="107" t="s">
        <v>243</v>
      </c>
      <c r="R198" s="80">
        <f>IF(COUNTBLANK(M198:N198)&gt;0,0,1/NETWORKDAYS(M198,N198,holiday!B$4:B$20)*(IF($S$5&lt;=M198,0,NETWORKDAYS(M198,IF($S$5&gt;N198,N198,$S$5),holiday!B$4:B$20))))</f>
        <v>0</v>
      </c>
      <c r="S198" s="218"/>
      <c r="T198" s="218"/>
      <c r="U198" s="219">
        <v>0</v>
      </c>
      <c r="V198" s="99">
        <v>0.5</v>
      </c>
      <c r="W198" s="81">
        <f t="shared" ref="W198" si="59">R198*V198</f>
        <v>0</v>
      </c>
      <c r="X198" s="82">
        <f t="shared" ref="X198" si="60">U198*V198</f>
        <v>0</v>
      </c>
      <c r="Y198" s="83" t="str">
        <f>IF(N198-$S$5&lt;=0,0,CONCATENATE(NETWORKDAYS($S$5,N198,holiday!$B$4:$B$20)))</f>
        <v>51</v>
      </c>
      <c r="Z198" s="84">
        <f t="shared" ref="Z198" si="61">IF(SUM(W198:X198)&gt;0,(X198-W198)/V198,0)</f>
        <v>0</v>
      </c>
      <c r="AA198" s="85"/>
      <c r="AB198" s="123"/>
    </row>
    <row r="199" spans="1:28" s="202" customFormat="1" ht="30" customHeight="1" outlineLevel="1" x14ac:dyDescent="0.3">
      <c r="A199" s="96"/>
      <c r="B199" s="40">
        <v>226</v>
      </c>
      <c r="C199" s="76" t="s">
        <v>293</v>
      </c>
      <c r="D199" s="83">
        <v>4</v>
      </c>
      <c r="E199" s="78"/>
      <c r="F199" s="177"/>
      <c r="G199" s="177"/>
      <c r="H199" s="79"/>
      <c r="I199" s="79" t="s">
        <v>85</v>
      </c>
      <c r="J199" s="79"/>
      <c r="K199" s="79"/>
      <c r="L199" s="77" t="str">
        <f>CONCATENATE(NETWORKDAYS(M199,N199,holiday!B$4:B$20),"일")</f>
        <v>7일</v>
      </c>
      <c r="M199" s="106">
        <v>46162</v>
      </c>
      <c r="N199" s="106">
        <v>46171</v>
      </c>
      <c r="O199" s="107" t="s">
        <v>68</v>
      </c>
      <c r="P199" s="248" t="s">
        <v>75</v>
      </c>
      <c r="Q199" s="107" t="s">
        <v>244</v>
      </c>
      <c r="R199" s="80">
        <f>IF(COUNTBLANK(M199:N199)&gt;0,0,1/NETWORKDAYS(M199,N199,holiday!B$4:B$20)*(IF($S$5&lt;=M199,0,NETWORKDAYS(M199,IF($S$5&gt;N199,N199,$S$5),holiday!B$4:B$20))))</f>
        <v>0</v>
      </c>
      <c r="S199" s="218"/>
      <c r="T199" s="218"/>
      <c r="U199" s="219">
        <v>0</v>
      </c>
      <c r="V199" s="99">
        <v>1</v>
      </c>
      <c r="W199" s="81">
        <f t="shared" si="57"/>
        <v>0</v>
      </c>
      <c r="X199" s="82">
        <f t="shared" si="54"/>
        <v>0</v>
      </c>
      <c r="Y199" s="83" t="str">
        <f>IF(N199-$S$5&lt;=0,0,CONCATENATE(NETWORKDAYS($S$5,N199,holiday!$B$4:$B$20)))</f>
        <v>36</v>
      </c>
      <c r="Z199" s="84">
        <f t="shared" si="55"/>
        <v>0</v>
      </c>
      <c r="AA199" s="85"/>
      <c r="AB199" s="123"/>
    </row>
    <row r="200" spans="1:28" s="93" customFormat="1" ht="30" customHeight="1" x14ac:dyDescent="0.3">
      <c r="B200" s="40">
        <v>227</v>
      </c>
      <c r="C200" s="64" t="s">
        <v>294</v>
      </c>
      <c r="D200" s="72">
        <v>2</v>
      </c>
      <c r="E200" s="66"/>
      <c r="F200" s="190"/>
      <c r="G200" s="190" t="s">
        <v>49</v>
      </c>
      <c r="H200" s="67"/>
      <c r="I200" s="67"/>
      <c r="J200" s="67"/>
      <c r="K200" s="67"/>
      <c r="L200" s="65" t="str">
        <f>CONCATENATE(NETWORKDAYS(M200,N200,holiday!B$4:B$20),"일")</f>
        <v>41일</v>
      </c>
      <c r="M200" s="112">
        <f>MIN(M201,M205,M209,M213,M217)</f>
        <v>46139</v>
      </c>
      <c r="N200" s="112">
        <f>MAX(N201,N205,N209,N213,N217)</f>
        <v>46197</v>
      </c>
      <c r="O200" s="113" t="s">
        <v>68</v>
      </c>
      <c r="P200" s="112" t="s">
        <v>68</v>
      </c>
      <c r="Q200" s="112" t="s">
        <v>243</v>
      </c>
      <c r="R200" s="69">
        <f>SUM(W201,W205,W209,W213,W217)</f>
        <v>0</v>
      </c>
      <c r="S200" s="112"/>
      <c r="T200" s="112"/>
      <c r="U200" s="69">
        <f>SUM(X201,X205,X209,X213,X217)</f>
        <v>0</v>
      </c>
      <c r="V200" s="100">
        <v>0.1</v>
      </c>
      <c r="W200" s="70">
        <f t="shared" si="57"/>
        <v>0</v>
      </c>
      <c r="X200" s="71">
        <f t="shared" si="54"/>
        <v>0</v>
      </c>
      <c r="Y200" s="72" t="str">
        <f>IF(N200-$S$5&lt;=0,0,CONCATENATE(NETWORKDAYS($S$5,N200,holiday!$B$4:$B$20)))</f>
        <v>54</v>
      </c>
      <c r="Z200" s="73">
        <f t="shared" si="55"/>
        <v>0</v>
      </c>
      <c r="AA200" s="74"/>
      <c r="AB200" s="124"/>
    </row>
    <row r="201" spans="1:28" s="202" customFormat="1" ht="30" customHeight="1" x14ac:dyDescent="0.3">
      <c r="A201" s="96"/>
      <c r="B201" s="40">
        <v>228</v>
      </c>
      <c r="C201" s="76" t="s">
        <v>295</v>
      </c>
      <c r="D201" s="83">
        <v>3</v>
      </c>
      <c r="E201" s="78"/>
      <c r="F201" s="177"/>
      <c r="G201" s="177"/>
      <c r="H201" s="233" t="s">
        <v>86</v>
      </c>
      <c r="I201" s="79"/>
      <c r="J201" s="79"/>
      <c r="K201" s="79"/>
      <c r="L201" s="77" t="str">
        <f>CONCATENATE(NETWORKDAYS(M201,N201,holiday!B$4:B$20),"일")</f>
        <v>29일</v>
      </c>
      <c r="M201" s="106">
        <f>MIN(M202,M203,M204)</f>
        <v>46143</v>
      </c>
      <c r="N201" s="106">
        <f>MAX(N202,N203,N204)</f>
        <v>46185</v>
      </c>
      <c r="O201" s="107" t="s">
        <v>68</v>
      </c>
      <c r="P201" s="248" t="s">
        <v>68</v>
      </c>
      <c r="Q201" s="107" t="s">
        <v>243</v>
      </c>
      <c r="R201" s="80">
        <f>SUM(W202:W204)</f>
        <v>0</v>
      </c>
      <c r="S201" s="218"/>
      <c r="T201" s="218"/>
      <c r="U201" s="219">
        <f>SUM(X202:X204)</f>
        <v>0</v>
      </c>
      <c r="V201" s="99">
        <v>0.2</v>
      </c>
      <c r="W201" s="81">
        <f t="shared" si="57"/>
        <v>0</v>
      </c>
      <c r="X201" s="82">
        <f t="shared" si="54"/>
        <v>0</v>
      </c>
      <c r="Y201" s="83" t="str">
        <f>IF(N201-$S$5&lt;=0,0,CONCATENATE(NETWORKDAYS($S$5,N201,holiday!$B$4:$B$20)))</f>
        <v>46</v>
      </c>
      <c r="Z201" s="84">
        <f t="shared" si="55"/>
        <v>0</v>
      </c>
      <c r="AA201" s="85"/>
      <c r="AB201" s="123"/>
    </row>
    <row r="202" spans="1:28" s="202" customFormat="1" ht="30" customHeight="1" x14ac:dyDescent="0.3">
      <c r="A202" s="96"/>
      <c r="B202" s="40">
        <v>229</v>
      </c>
      <c r="C202" s="76" t="s">
        <v>296</v>
      </c>
      <c r="D202" s="83">
        <v>4</v>
      </c>
      <c r="E202" s="78"/>
      <c r="F202" s="177"/>
      <c r="G202" s="177"/>
      <c r="H202" s="79"/>
      <c r="I202" s="79" t="s">
        <v>424</v>
      </c>
      <c r="J202" s="79"/>
      <c r="K202" s="79"/>
      <c r="L202" s="77" t="str">
        <f>CONCATENATE(NETWORKDAYS(M202,N202,holiday!B$4:B$20),"일")</f>
        <v>5일</v>
      </c>
      <c r="M202" s="106">
        <v>46143</v>
      </c>
      <c r="N202" s="106">
        <v>46150</v>
      </c>
      <c r="O202" s="107" t="s">
        <v>68</v>
      </c>
      <c r="P202" s="248" t="s">
        <v>183</v>
      </c>
      <c r="Q202" s="107" t="s">
        <v>414</v>
      </c>
      <c r="R202" s="80">
        <f>IF(COUNTBLANK(M202:N202)&gt;0,0,1/NETWORKDAYS(M202,N202,holiday!B$4:B$20)*(IF($S$5&lt;=M202,0,NETWORKDAYS(M202,IF($S$5&gt;N202,N202,$S$5),holiday!B$4:B$20))))</f>
        <v>0</v>
      </c>
      <c r="S202" s="218"/>
      <c r="T202" s="218"/>
      <c r="U202" s="219">
        <v>0</v>
      </c>
      <c r="V202" s="99">
        <v>0.4</v>
      </c>
      <c r="W202" s="81">
        <f t="shared" si="57"/>
        <v>0</v>
      </c>
      <c r="X202" s="82">
        <f t="shared" si="54"/>
        <v>0</v>
      </c>
      <c r="Y202" s="83" t="str">
        <f>IF(N202-$S$5&lt;=0,0,CONCATENATE(NETWORKDAYS($S$5,N202,holiday!$B$4:$B$20)))</f>
        <v>22</v>
      </c>
      <c r="Z202" s="84">
        <f t="shared" si="55"/>
        <v>0</v>
      </c>
      <c r="AA202" s="85"/>
      <c r="AB202" s="123"/>
    </row>
    <row r="203" spans="1:28" s="202" customFormat="1" ht="30" customHeight="1" x14ac:dyDescent="0.3">
      <c r="A203" s="96"/>
      <c r="B203" s="40">
        <v>230</v>
      </c>
      <c r="C203" s="76" t="s">
        <v>297</v>
      </c>
      <c r="D203" s="83">
        <v>4</v>
      </c>
      <c r="E203" s="78"/>
      <c r="F203" s="177"/>
      <c r="G203" s="177"/>
      <c r="H203" s="79"/>
      <c r="I203" s="79" t="s">
        <v>425</v>
      </c>
      <c r="J203" s="79"/>
      <c r="K203" s="79"/>
      <c r="L203" s="77" t="str">
        <f>CONCATENATE(NETWORKDAYS(M203,N203,holiday!B$4:B$20),"일")</f>
        <v>5일</v>
      </c>
      <c r="M203" s="306">
        <v>46143</v>
      </c>
      <c r="N203" s="306">
        <v>46150</v>
      </c>
      <c r="O203" s="107" t="s">
        <v>68</v>
      </c>
      <c r="P203" s="248" t="s">
        <v>75</v>
      </c>
      <c r="Q203" s="107" t="s">
        <v>244</v>
      </c>
      <c r="R203" s="80">
        <f>IF(COUNTBLANK(M203:N203)&gt;0,0,1/NETWORKDAYS(M203,N203,holiday!B$4:B$20)*(IF($S$5&lt;=M203,0,NETWORKDAYS(M203,IF($S$5&gt;N203,N203,$S$5),holiday!B$4:B$20))))</f>
        <v>0</v>
      </c>
      <c r="S203" s="218"/>
      <c r="T203" s="218"/>
      <c r="U203" s="219">
        <v>0</v>
      </c>
      <c r="V203" s="99">
        <v>0.3</v>
      </c>
      <c r="W203" s="81">
        <f t="shared" si="57"/>
        <v>0</v>
      </c>
      <c r="X203" s="82">
        <f t="shared" si="54"/>
        <v>0</v>
      </c>
      <c r="Y203" s="83" t="str">
        <f>IF(N203-$S$5&lt;=0,0,CONCATENATE(NETWORKDAYS($S$5,N203,holiday!$B$4:$B$20)))</f>
        <v>22</v>
      </c>
      <c r="Z203" s="84">
        <f t="shared" si="55"/>
        <v>0</v>
      </c>
      <c r="AA203" s="85"/>
      <c r="AB203" s="123"/>
    </row>
    <row r="204" spans="1:28" s="202" customFormat="1" ht="30" customHeight="1" x14ac:dyDescent="0.3">
      <c r="A204" s="96"/>
      <c r="B204" s="40">
        <v>231</v>
      </c>
      <c r="C204" s="76" t="s">
        <v>298</v>
      </c>
      <c r="D204" s="83">
        <v>4</v>
      </c>
      <c r="E204" s="177"/>
      <c r="F204" s="177"/>
      <c r="G204" s="177"/>
      <c r="H204" s="79"/>
      <c r="I204" s="79" t="s">
        <v>564</v>
      </c>
      <c r="J204" s="79"/>
      <c r="K204" s="79"/>
      <c r="L204" s="77" t="str">
        <f>CONCATENATE(NETWORKDAYS(M204,N204,holiday!B$4:B$20),"일")</f>
        <v>5일</v>
      </c>
      <c r="M204" s="273">
        <v>46181</v>
      </c>
      <c r="N204" s="273">
        <v>46185</v>
      </c>
      <c r="O204" s="107" t="s">
        <v>68</v>
      </c>
      <c r="P204" s="248" t="s">
        <v>61</v>
      </c>
      <c r="Q204" s="107" t="s">
        <v>413</v>
      </c>
      <c r="R204" s="80">
        <f>IF(COUNTBLANK(M204:N204)&gt;0,0,1/NETWORKDAYS(M204,N204,holiday!B$4:B$20)*(IF($S$5&lt;=M204,0,NETWORKDAYS(M204,IF($S$5&gt;N204,N204,$S$5),holiday!B$4:B$20))))</f>
        <v>0</v>
      </c>
      <c r="S204" s="218"/>
      <c r="T204" s="218"/>
      <c r="U204" s="219">
        <v>0</v>
      </c>
      <c r="V204" s="99">
        <v>0.3</v>
      </c>
      <c r="W204" s="81">
        <f t="shared" si="57"/>
        <v>0</v>
      </c>
      <c r="X204" s="82">
        <f t="shared" si="54"/>
        <v>0</v>
      </c>
      <c r="Y204" s="83" t="str">
        <f>IF(N204-$S$5&lt;=0,0,CONCATENATE(NETWORKDAYS($S$5,N204,holiday!$B$4:$B$20)))</f>
        <v>46</v>
      </c>
      <c r="Z204" s="84">
        <f t="shared" si="55"/>
        <v>0</v>
      </c>
      <c r="AA204" s="85"/>
      <c r="AB204" s="123"/>
    </row>
    <row r="205" spans="1:28" s="202" customFormat="1" ht="30" customHeight="1" x14ac:dyDescent="0.3">
      <c r="A205" s="96"/>
      <c r="B205" s="40">
        <v>232</v>
      </c>
      <c r="C205" s="76" t="s">
        <v>299</v>
      </c>
      <c r="D205" s="83">
        <v>3</v>
      </c>
      <c r="E205" s="78"/>
      <c r="F205" s="177"/>
      <c r="G205" s="177"/>
      <c r="H205" s="233" t="s">
        <v>87</v>
      </c>
      <c r="I205" s="79"/>
      <c r="J205" s="79"/>
      <c r="K205" s="79"/>
      <c r="L205" s="77" t="str">
        <f>CONCATENATE(NETWORKDAYS(M205,N205,holiday!B$4:B$20),"일")</f>
        <v>34일</v>
      </c>
      <c r="M205" s="106">
        <f>MIN(M206,M207,M208)</f>
        <v>46143</v>
      </c>
      <c r="N205" s="106">
        <f>MAX(N206,N207,N208)</f>
        <v>46192</v>
      </c>
      <c r="O205" s="107" t="s">
        <v>68</v>
      </c>
      <c r="P205" s="248" t="s">
        <v>68</v>
      </c>
      <c r="Q205" s="107" t="s">
        <v>243</v>
      </c>
      <c r="R205" s="80">
        <f>SUM(W206:W208)</f>
        <v>0</v>
      </c>
      <c r="S205" s="218"/>
      <c r="T205" s="218"/>
      <c r="U205" s="219">
        <f>SUM(X206:X208)</f>
        <v>0</v>
      </c>
      <c r="V205" s="239">
        <v>0.2</v>
      </c>
      <c r="W205" s="81">
        <f t="shared" si="57"/>
        <v>0</v>
      </c>
      <c r="X205" s="82">
        <f t="shared" si="54"/>
        <v>0</v>
      </c>
      <c r="Y205" s="83" t="str">
        <f>IF(N205-$S$5&lt;=0,0,CONCATENATE(NETWORKDAYS($S$5,N205,holiday!$B$4:$B$20)))</f>
        <v>51</v>
      </c>
      <c r="Z205" s="84">
        <f t="shared" si="55"/>
        <v>0</v>
      </c>
      <c r="AA205" s="240"/>
      <c r="AB205" s="123"/>
    </row>
    <row r="206" spans="1:28" s="202" customFormat="1" ht="30" customHeight="1" x14ac:dyDescent="0.3">
      <c r="A206" s="96"/>
      <c r="B206" s="40">
        <v>233</v>
      </c>
      <c r="C206" s="76" t="s">
        <v>300</v>
      </c>
      <c r="D206" s="83">
        <v>4</v>
      </c>
      <c r="E206" s="78"/>
      <c r="F206" s="177"/>
      <c r="G206" s="177"/>
      <c r="H206" s="79"/>
      <c r="I206" s="79" t="s">
        <v>10</v>
      </c>
      <c r="J206" s="79"/>
      <c r="K206" s="79"/>
      <c r="L206" s="77" t="str">
        <f>CONCATENATE(NETWORKDAYS(M206,N206,holiday!B$4:B$20),"일")</f>
        <v>5일</v>
      </c>
      <c r="M206" s="106">
        <v>46143</v>
      </c>
      <c r="N206" s="106">
        <v>46150</v>
      </c>
      <c r="O206" s="107" t="s">
        <v>68</v>
      </c>
      <c r="P206" s="248" t="s">
        <v>183</v>
      </c>
      <c r="Q206" s="107" t="s">
        <v>414</v>
      </c>
      <c r="R206" s="80">
        <f>IF(COUNTBLANK(M206:N206)&gt;0,0,1/NETWORKDAYS(M206,N206,holiday!B$4:B$20)*(IF($S$5&lt;=M206,0,NETWORKDAYS(M206,IF($S$5&gt;N206,N206,$S$5),holiday!B$4:B$20))))</f>
        <v>0</v>
      </c>
      <c r="S206" s="218"/>
      <c r="T206" s="218"/>
      <c r="U206" s="219">
        <v>0</v>
      </c>
      <c r="V206" s="99">
        <v>0.4</v>
      </c>
      <c r="W206" s="81">
        <f t="shared" si="57"/>
        <v>0</v>
      </c>
      <c r="X206" s="82">
        <f t="shared" si="54"/>
        <v>0</v>
      </c>
      <c r="Y206" s="83" t="str">
        <f>IF(N206-$S$5&lt;=0,0,CONCATENATE(NETWORKDAYS($S$5,N206,holiday!$B$4:$B$20)))</f>
        <v>22</v>
      </c>
      <c r="Z206" s="84">
        <f t="shared" si="55"/>
        <v>0</v>
      </c>
      <c r="AA206" s="85"/>
      <c r="AB206" s="123"/>
    </row>
    <row r="207" spans="1:28" s="202" customFormat="1" ht="30" customHeight="1" x14ac:dyDescent="0.3">
      <c r="A207" s="96"/>
      <c r="B207" s="40">
        <v>234</v>
      </c>
      <c r="C207" s="76" t="s">
        <v>301</v>
      </c>
      <c r="D207" s="83">
        <v>4</v>
      </c>
      <c r="E207" s="78"/>
      <c r="F207" s="177"/>
      <c r="G207" s="177"/>
      <c r="H207" s="79"/>
      <c r="I207" s="79" t="s">
        <v>9</v>
      </c>
      <c r="J207" s="79"/>
      <c r="K207" s="79"/>
      <c r="L207" s="77" t="str">
        <f>CONCATENATE(NETWORKDAYS(M207,N207,holiday!B$4:B$20),"일")</f>
        <v>5일</v>
      </c>
      <c r="M207" s="306">
        <v>46143</v>
      </c>
      <c r="N207" s="306">
        <v>46150</v>
      </c>
      <c r="O207" s="107" t="s">
        <v>68</v>
      </c>
      <c r="P207" s="248" t="s">
        <v>75</v>
      </c>
      <c r="Q207" s="107" t="s">
        <v>244</v>
      </c>
      <c r="R207" s="80">
        <f>IF(COUNTBLANK(M207:N207)&gt;0,0,1/NETWORKDAYS(M207,N207,holiday!B$4:B$20)*(IF($S$5&lt;=M207,0,NETWORKDAYS(M207,IF($S$5&gt;N207,N207,$S$5),holiday!B$4:B$20))))</f>
        <v>0</v>
      </c>
      <c r="S207" s="218"/>
      <c r="T207" s="218"/>
      <c r="U207" s="219">
        <v>0</v>
      </c>
      <c r="V207" s="99">
        <v>0.3</v>
      </c>
      <c r="W207" s="81">
        <f t="shared" si="57"/>
        <v>0</v>
      </c>
      <c r="X207" s="82">
        <f t="shared" si="54"/>
        <v>0</v>
      </c>
      <c r="Y207" s="83" t="str">
        <f>IF(N207-$S$5&lt;=0,0,CONCATENATE(NETWORKDAYS($S$5,N207,holiday!$B$4:$B$20)))</f>
        <v>22</v>
      </c>
      <c r="Z207" s="84">
        <f t="shared" si="55"/>
        <v>0</v>
      </c>
      <c r="AA207" s="85"/>
      <c r="AB207" s="123"/>
    </row>
    <row r="208" spans="1:28" s="202" customFormat="1" ht="30" customHeight="1" x14ac:dyDescent="0.3">
      <c r="A208" s="96"/>
      <c r="B208" s="40">
        <v>235</v>
      </c>
      <c r="C208" s="76" t="s">
        <v>302</v>
      </c>
      <c r="D208" s="83">
        <v>4</v>
      </c>
      <c r="E208" s="177"/>
      <c r="F208" s="177"/>
      <c r="G208" s="177"/>
      <c r="H208" s="79"/>
      <c r="I208" s="79" t="s">
        <v>565</v>
      </c>
      <c r="J208" s="79"/>
      <c r="K208" s="79"/>
      <c r="L208" s="77" t="str">
        <f>CONCATENATE(NETWORKDAYS(M208,N208,holiday!B$4:B$20),"일")</f>
        <v>5일</v>
      </c>
      <c r="M208" s="273">
        <v>46188</v>
      </c>
      <c r="N208" s="273">
        <v>46192</v>
      </c>
      <c r="O208" s="107" t="s">
        <v>68</v>
      </c>
      <c r="P208" s="248" t="s">
        <v>61</v>
      </c>
      <c r="Q208" s="107" t="s">
        <v>413</v>
      </c>
      <c r="R208" s="80">
        <f>IF(COUNTBLANK(M208:N208)&gt;0,0,1/NETWORKDAYS(M208,N208,holiday!B$4:B$20)*(IF($S$5&lt;=M208,0,NETWORKDAYS(M208,IF($S$5&gt;N208,N208,$S$5),holiday!B$4:B$20))))</f>
        <v>0</v>
      </c>
      <c r="S208" s="218"/>
      <c r="T208" s="218"/>
      <c r="U208" s="219">
        <v>0</v>
      </c>
      <c r="V208" s="99">
        <v>0.3</v>
      </c>
      <c r="W208" s="81">
        <f t="shared" si="57"/>
        <v>0</v>
      </c>
      <c r="X208" s="82">
        <f t="shared" si="54"/>
        <v>0</v>
      </c>
      <c r="Y208" s="83" t="str">
        <f>IF(N208-$S$5&lt;=0,0,CONCATENATE(NETWORKDAYS($S$5,N208,holiday!$B$4:$B$20)))</f>
        <v>51</v>
      </c>
      <c r="Z208" s="84">
        <f t="shared" si="55"/>
        <v>0</v>
      </c>
      <c r="AA208" s="85"/>
      <c r="AB208" s="123"/>
    </row>
    <row r="209" spans="1:30" s="202" customFormat="1" ht="30" customHeight="1" x14ac:dyDescent="0.3">
      <c r="A209" s="96"/>
      <c r="B209" s="40">
        <v>236</v>
      </c>
      <c r="C209" s="76" t="s">
        <v>303</v>
      </c>
      <c r="D209" s="83">
        <v>3</v>
      </c>
      <c r="E209" s="78"/>
      <c r="F209" s="177"/>
      <c r="G209" s="177"/>
      <c r="H209" s="233" t="s">
        <v>56</v>
      </c>
      <c r="I209" s="79"/>
      <c r="J209" s="79"/>
      <c r="K209" s="79"/>
      <c r="L209" s="77" t="str">
        <f>CONCATENATE(NETWORKDAYS(M209,N209,holiday!B$4:B$20),"일")</f>
        <v>37일</v>
      </c>
      <c r="M209" s="106">
        <f>MIN(M210,M211,M212)</f>
        <v>46143</v>
      </c>
      <c r="N209" s="106">
        <f>MAX(N210,N211,N212)</f>
        <v>46197</v>
      </c>
      <c r="O209" s="107" t="s">
        <v>68</v>
      </c>
      <c r="P209" s="248" t="s">
        <v>68</v>
      </c>
      <c r="Q209" s="107" t="s">
        <v>243</v>
      </c>
      <c r="R209" s="80">
        <f>SUM(W210:W212)</f>
        <v>0</v>
      </c>
      <c r="S209" s="218"/>
      <c r="T209" s="218"/>
      <c r="U209" s="219">
        <f>SUM(X210:X212)</f>
        <v>0</v>
      </c>
      <c r="V209" s="239">
        <v>0.2</v>
      </c>
      <c r="W209" s="81">
        <f t="shared" si="57"/>
        <v>0</v>
      </c>
      <c r="X209" s="82">
        <f t="shared" si="54"/>
        <v>0</v>
      </c>
      <c r="Y209" s="83" t="str">
        <f>IF(N209-$S$5&lt;=0,0,CONCATENATE(NETWORKDAYS($S$5,N209,holiday!$B$4:$B$20)))</f>
        <v>54</v>
      </c>
      <c r="Z209" s="84">
        <f t="shared" si="55"/>
        <v>0</v>
      </c>
      <c r="AA209" s="240"/>
      <c r="AB209" s="123"/>
    </row>
    <row r="210" spans="1:30" s="202" customFormat="1" ht="30" customHeight="1" x14ac:dyDescent="0.3">
      <c r="A210" s="96"/>
      <c r="B210" s="40">
        <v>237</v>
      </c>
      <c r="C210" s="76" t="s">
        <v>304</v>
      </c>
      <c r="D210" s="83">
        <v>4</v>
      </c>
      <c r="E210" s="78"/>
      <c r="F210" s="177"/>
      <c r="G210" s="177"/>
      <c r="H210" s="79"/>
      <c r="I210" s="79" t="s">
        <v>10</v>
      </c>
      <c r="J210" s="79"/>
      <c r="K210" s="79"/>
      <c r="L210" s="77" t="str">
        <f>CONCATENATE(NETWORKDAYS(M210,N210,holiday!B$4:B$20),"일")</f>
        <v>2일</v>
      </c>
      <c r="M210" s="106">
        <v>46143</v>
      </c>
      <c r="N210" s="106">
        <v>46147</v>
      </c>
      <c r="O210" s="107" t="s">
        <v>68</v>
      </c>
      <c r="P210" s="248" t="s">
        <v>183</v>
      </c>
      <c r="Q210" s="107" t="s">
        <v>414</v>
      </c>
      <c r="R210" s="80">
        <f>IF(COUNTBLANK(M210:N210)&gt;0,0,1/NETWORKDAYS(M210,N210,holiday!B$4:B$20)*(IF($S$5&lt;=M210,0,NETWORKDAYS(M210,IF($S$5&gt;N210,N210,$S$5),holiday!B$4:B$20))))</f>
        <v>0</v>
      </c>
      <c r="S210" s="218"/>
      <c r="T210" s="218"/>
      <c r="U210" s="219">
        <v>0</v>
      </c>
      <c r="V210" s="99">
        <v>0.4</v>
      </c>
      <c r="W210" s="81">
        <f t="shared" si="57"/>
        <v>0</v>
      </c>
      <c r="X210" s="82">
        <f t="shared" si="54"/>
        <v>0</v>
      </c>
      <c r="Y210" s="83" t="str">
        <f>IF(N210-$S$5&lt;=0,0,CONCATENATE(NETWORKDAYS($S$5,N210,holiday!$B$4:$B$20)))</f>
        <v>19</v>
      </c>
      <c r="Z210" s="84">
        <f t="shared" si="55"/>
        <v>0</v>
      </c>
      <c r="AA210" s="85"/>
      <c r="AB210" s="123"/>
    </row>
    <row r="211" spans="1:30" s="202" customFormat="1" ht="30" customHeight="1" x14ac:dyDescent="0.3">
      <c r="A211" s="96"/>
      <c r="B211" s="40">
        <v>238</v>
      </c>
      <c r="C211" s="76" t="s">
        <v>305</v>
      </c>
      <c r="D211" s="83">
        <v>4</v>
      </c>
      <c r="E211" s="78"/>
      <c r="F211" s="177"/>
      <c r="G211" s="177"/>
      <c r="H211" s="79"/>
      <c r="I211" s="79" t="s">
        <v>9</v>
      </c>
      <c r="J211" s="79"/>
      <c r="K211" s="79"/>
      <c r="L211" s="77" t="str">
        <f>CONCATENATE(NETWORKDAYS(M211,N211,holiday!B$4:B$20),"일")</f>
        <v>2일</v>
      </c>
      <c r="M211" s="306">
        <v>46143</v>
      </c>
      <c r="N211" s="306">
        <v>46147</v>
      </c>
      <c r="O211" s="107" t="s">
        <v>68</v>
      </c>
      <c r="P211" s="248" t="s">
        <v>75</v>
      </c>
      <c r="Q211" s="107" t="s">
        <v>244</v>
      </c>
      <c r="R211" s="80">
        <f>IF(COUNTBLANK(M211:N211)&gt;0,0,1/NETWORKDAYS(M211,N211,holiday!B$4:B$20)*(IF($S$5&lt;=M211,0,NETWORKDAYS(M211,IF($S$5&gt;N211,N211,$S$5),holiday!B$4:B$20))))</f>
        <v>0</v>
      </c>
      <c r="S211" s="218"/>
      <c r="T211" s="218"/>
      <c r="U211" s="219">
        <v>0</v>
      </c>
      <c r="V211" s="99">
        <v>0.3</v>
      </c>
      <c r="W211" s="81">
        <f t="shared" si="57"/>
        <v>0</v>
      </c>
      <c r="X211" s="82">
        <f t="shared" si="54"/>
        <v>0</v>
      </c>
      <c r="Y211" s="83" t="str">
        <f>IF(N211-$S$5&lt;=0,0,CONCATENATE(NETWORKDAYS($S$5,N211,holiday!$B$4:$B$20)))</f>
        <v>19</v>
      </c>
      <c r="Z211" s="84">
        <f t="shared" si="55"/>
        <v>0</v>
      </c>
      <c r="AA211" s="85"/>
      <c r="AB211" s="123"/>
    </row>
    <row r="212" spans="1:30" s="202" customFormat="1" ht="30" customHeight="1" x14ac:dyDescent="0.3">
      <c r="A212" s="96"/>
      <c r="B212" s="40">
        <v>239</v>
      </c>
      <c r="C212" s="76" t="s">
        <v>306</v>
      </c>
      <c r="D212" s="83">
        <v>4</v>
      </c>
      <c r="E212" s="177"/>
      <c r="F212" s="177"/>
      <c r="G212" s="177"/>
      <c r="H212" s="79"/>
      <c r="I212" s="79" t="s">
        <v>565</v>
      </c>
      <c r="J212" s="79"/>
      <c r="K212" s="79"/>
      <c r="L212" s="77" t="str">
        <f>CONCATENATE(NETWORKDAYS(M212,N212,holiday!B$4:B$20),"일")</f>
        <v>1일</v>
      </c>
      <c r="M212" s="273">
        <v>46197</v>
      </c>
      <c r="N212" s="273">
        <v>46197</v>
      </c>
      <c r="O212" s="107" t="s">
        <v>68</v>
      </c>
      <c r="P212" s="248" t="s">
        <v>61</v>
      </c>
      <c r="Q212" s="107" t="s">
        <v>413</v>
      </c>
      <c r="R212" s="80">
        <f>IF(COUNTBLANK(M212:N212)&gt;0,0,1/NETWORKDAYS(M212,N212,holiday!B$4:B$20)*(IF($S$5&lt;=M212,0,NETWORKDAYS(M212,IF($S$5&gt;N212,N212,$S$5),holiday!B$4:B$20))))</f>
        <v>0</v>
      </c>
      <c r="S212" s="218"/>
      <c r="T212" s="218"/>
      <c r="U212" s="219">
        <v>0</v>
      </c>
      <c r="V212" s="99">
        <v>0.3</v>
      </c>
      <c r="W212" s="81">
        <f t="shared" si="57"/>
        <v>0</v>
      </c>
      <c r="X212" s="82">
        <f t="shared" si="54"/>
        <v>0</v>
      </c>
      <c r="Y212" s="83" t="str">
        <f>IF(N212-$S$5&lt;=0,0,CONCATENATE(NETWORKDAYS($S$5,N212,holiday!$B$4:$B$20)))</f>
        <v>54</v>
      </c>
      <c r="Z212" s="84">
        <f t="shared" si="55"/>
        <v>0</v>
      </c>
      <c r="AA212" s="85"/>
      <c r="AB212" s="123"/>
    </row>
    <row r="213" spans="1:30" s="202" customFormat="1" ht="30" customHeight="1" x14ac:dyDescent="0.3">
      <c r="A213" s="96"/>
      <c r="B213" s="40">
        <v>240</v>
      </c>
      <c r="C213" s="76" t="s">
        <v>307</v>
      </c>
      <c r="D213" s="83">
        <v>3</v>
      </c>
      <c r="E213" s="78"/>
      <c r="F213" s="177"/>
      <c r="G213" s="177"/>
      <c r="H213" s="233" t="s">
        <v>84</v>
      </c>
      <c r="I213" s="79"/>
      <c r="J213" s="79"/>
      <c r="K213" s="79"/>
      <c r="L213" s="77" t="str">
        <f>CONCATENATE(NETWORKDAYS(M213,N213,holiday!B$4:B$20),"일")</f>
        <v>19일</v>
      </c>
      <c r="M213" s="106">
        <f>MIN(M214,M215,M216)</f>
        <v>46139</v>
      </c>
      <c r="N213" s="106">
        <f>MAX(N214,N215,N216)</f>
        <v>46164</v>
      </c>
      <c r="O213" s="107" t="s">
        <v>68</v>
      </c>
      <c r="P213" s="248" t="s">
        <v>68</v>
      </c>
      <c r="Q213" s="107" t="s">
        <v>243</v>
      </c>
      <c r="R213" s="80">
        <f>SUM(W214:W216)</f>
        <v>0</v>
      </c>
      <c r="S213" s="218"/>
      <c r="T213" s="218"/>
      <c r="U213" s="219">
        <f>SUM(X214:X216)</f>
        <v>0</v>
      </c>
      <c r="V213" s="239">
        <v>0.2</v>
      </c>
      <c r="W213" s="81">
        <f t="shared" si="57"/>
        <v>0</v>
      </c>
      <c r="X213" s="82">
        <f t="shared" si="54"/>
        <v>0</v>
      </c>
      <c r="Y213" s="83" t="str">
        <f>IF(N213-$S$5&lt;=0,0,CONCATENATE(NETWORKDAYS($S$5,N213,holiday!$B$4:$B$20)))</f>
        <v>32</v>
      </c>
      <c r="Z213" s="84">
        <f t="shared" si="55"/>
        <v>0</v>
      </c>
      <c r="AA213" s="240"/>
      <c r="AB213" s="123"/>
    </row>
    <row r="214" spans="1:30" s="202" customFormat="1" ht="30" customHeight="1" x14ac:dyDescent="0.3">
      <c r="A214" s="96"/>
      <c r="B214" s="40">
        <v>241</v>
      </c>
      <c r="C214" s="76" t="s">
        <v>308</v>
      </c>
      <c r="D214" s="83">
        <v>4</v>
      </c>
      <c r="E214" s="78"/>
      <c r="F214" s="177"/>
      <c r="G214" s="177"/>
      <c r="H214" s="79"/>
      <c r="I214" s="79" t="s">
        <v>10</v>
      </c>
      <c r="J214" s="79"/>
      <c r="K214" s="79"/>
      <c r="L214" s="77" t="str">
        <f>CONCATENATE(NETWORKDAYS(M214,N214,holiday!B$4:B$20),"일")</f>
        <v>5일</v>
      </c>
      <c r="M214" s="106">
        <v>46139</v>
      </c>
      <c r="N214" s="106">
        <v>46143</v>
      </c>
      <c r="O214" s="107" t="s">
        <v>68</v>
      </c>
      <c r="P214" s="248" t="s">
        <v>183</v>
      </c>
      <c r="Q214" s="107" t="s">
        <v>414</v>
      </c>
      <c r="R214" s="80">
        <f>IF(COUNTBLANK(M214:N214)&gt;0,0,1/NETWORKDAYS(M214,N214,holiday!B$4:B$20)*(IF($S$5&lt;=M214,0,NETWORKDAYS(M214,IF($S$5&gt;N214,N214,$S$5),holiday!B$4:B$20))))</f>
        <v>0</v>
      </c>
      <c r="S214" s="218"/>
      <c r="T214" s="218"/>
      <c r="U214" s="219">
        <v>0</v>
      </c>
      <c r="V214" s="99">
        <v>0.4</v>
      </c>
      <c r="W214" s="81">
        <f t="shared" si="57"/>
        <v>0</v>
      </c>
      <c r="X214" s="82">
        <f t="shared" si="54"/>
        <v>0</v>
      </c>
      <c r="Y214" s="83" t="str">
        <f>IF(N214-$S$5&lt;=0,0,CONCATENATE(NETWORKDAYS($S$5,N214,holiday!$B$4:$B$20)))</f>
        <v>18</v>
      </c>
      <c r="Z214" s="84">
        <f t="shared" si="55"/>
        <v>0</v>
      </c>
      <c r="AA214" s="85"/>
      <c r="AB214" s="123"/>
    </row>
    <row r="215" spans="1:30" s="202" customFormat="1" ht="30" customHeight="1" x14ac:dyDescent="0.3">
      <c r="A215" s="96"/>
      <c r="B215" s="40">
        <v>242</v>
      </c>
      <c r="C215" s="76" t="s">
        <v>309</v>
      </c>
      <c r="D215" s="83">
        <v>4</v>
      </c>
      <c r="E215" s="78"/>
      <c r="F215" s="177"/>
      <c r="G215" s="177"/>
      <c r="H215" s="79"/>
      <c r="I215" s="79" t="s">
        <v>9</v>
      </c>
      <c r="J215" s="79"/>
      <c r="K215" s="79"/>
      <c r="L215" s="77" t="str">
        <f>CONCATENATE(NETWORKDAYS(M215,N215,holiday!B$4:B$20),"일")</f>
        <v>5일</v>
      </c>
      <c r="M215" s="306">
        <v>46139</v>
      </c>
      <c r="N215" s="306">
        <v>46143</v>
      </c>
      <c r="O215" s="107" t="s">
        <v>68</v>
      </c>
      <c r="P215" s="248" t="s">
        <v>75</v>
      </c>
      <c r="Q215" s="107" t="s">
        <v>244</v>
      </c>
      <c r="R215" s="80">
        <f>IF(COUNTBLANK(M215:N215)&gt;0,0,1/NETWORKDAYS(M215,N215,holiday!B$4:B$20)*(IF($S$5&lt;=M215,0,NETWORKDAYS(M215,IF($S$5&gt;N215,N215,$S$5),holiday!B$4:B$20))))</f>
        <v>0</v>
      </c>
      <c r="S215" s="218"/>
      <c r="T215" s="218"/>
      <c r="U215" s="219">
        <v>0</v>
      </c>
      <c r="V215" s="99">
        <v>0.3</v>
      </c>
      <c r="W215" s="81">
        <f t="shared" si="57"/>
        <v>0</v>
      </c>
      <c r="X215" s="82">
        <f t="shared" si="54"/>
        <v>0</v>
      </c>
      <c r="Y215" s="83" t="str">
        <f>IF(N215-$S$5&lt;=0,0,CONCATENATE(NETWORKDAYS($S$5,N215,holiday!$B$4:$B$20)))</f>
        <v>18</v>
      </c>
      <c r="Z215" s="84">
        <f t="shared" si="55"/>
        <v>0</v>
      </c>
      <c r="AA215" s="85"/>
      <c r="AB215" s="123"/>
    </row>
    <row r="216" spans="1:30" s="202" customFormat="1" ht="30" customHeight="1" x14ac:dyDescent="0.3">
      <c r="A216" s="96"/>
      <c r="B216" s="40">
        <v>243</v>
      </c>
      <c r="C216" s="76" t="s">
        <v>310</v>
      </c>
      <c r="D216" s="83">
        <v>4</v>
      </c>
      <c r="E216" s="177"/>
      <c r="F216" s="177"/>
      <c r="G216" s="177"/>
      <c r="H216" s="79"/>
      <c r="I216" s="79" t="s">
        <v>565</v>
      </c>
      <c r="J216" s="79"/>
      <c r="K216" s="79"/>
      <c r="L216" s="77" t="str">
        <f>CONCATENATE(NETWORKDAYS(M216,N216,holiday!B$4:B$20),"일")</f>
        <v>5일</v>
      </c>
      <c r="M216" s="273">
        <v>46160</v>
      </c>
      <c r="N216" s="273">
        <v>46164</v>
      </c>
      <c r="O216" s="107" t="s">
        <v>68</v>
      </c>
      <c r="P216" s="248" t="s">
        <v>61</v>
      </c>
      <c r="Q216" s="107" t="s">
        <v>413</v>
      </c>
      <c r="R216" s="80">
        <f>IF(COUNTBLANK(M216:N216)&gt;0,0,1/NETWORKDAYS(M216,N216,holiday!B$4:B$20)*(IF($S$5&lt;=M216,0,NETWORKDAYS(M216,IF($S$5&gt;N216,N216,$S$5),holiday!B$4:B$20))))</f>
        <v>0</v>
      </c>
      <c r="S216" s="218"/>
      <c r="T216" s="218"/>
      <c r="U216" s="219">
        <v>0</v>
      </c>
      <c r="V216" s="99">
        <v>0.3</v>
      </c>
      <c r="W216" s="81">
        <f t="shared" si="57"/>
        <v>0</v>
      </c>
      <c r="X216" s="82">
        <f t="shared" si="54"/>
        <v>0</v>
      </c>
      <c r="Y216" s="83" t="str">
        <f>IF(N216-$S$5&lt;=0,0,CONCATENATE(NETWORKDAYS($S$5,N216,holiday!$B$4:$B$20)))</f>
        <v>32</v>
      </c>
      <c r="Z216" s="84">
        <f t="shared" si="55"/>
        <v>0</v>
      </c>
      <c r="AA216" s="85"/>
      <c r="AB216" s="123"/>
    </row>
    <row r="217" spans="1:30" s="202" customFormat="1" ht="30" customHeight="1" x14ac:dyDescent="0.3">
      <c r="A217" s="96"/>
      <c r="B217" s="40">
        <v>244</v>
      </c>
      <c r="C217" s="76" t="s">
        <v>311</v>
      </c>
      <c r="D217" s="83">
        <v>3</v>
      </c>
      <c r="E217" s="177"/>
      <c r="F217" s="177"/>
      <c r="G217" s="177"/>
      <c r="H217" s="233" t="s">
        <v>563</v>
      </c>
      <c r="I217" s="79"/>
      <c r="J217" s="79"/>
      <c r="K217" s="79"/>
      <c r="L217" s="77" t="str">
        <f>CONCATENATE(NETWORKDAYS(M217,N217,holiday!B$4:B$20),"일")</f>
        <v>5일</v>
      </c>
      <c r="M217" s="106">
        <f>MIN(M218,M219,M220)</f>
        <v>46139</v>
      </c>
      <c r="N217" s="106">
        <f>MAX(N218,N219,N220)</f>
        <v>46143</v>
      </c>
      <c r="O217" s="107" t="s">
        <v>68</v>
      </c>
      <c r="P217" s="248" t="s">
        <v>68</v>
      </c>
      <c r="Q217" s="107" t="s">
        <v>243</v>
      </c>
      <c r="R217" s="80">
        <f>SUM(W218:W220)</f>
        <v>0</v>
      </c>
      <c r="S217" s="251"/>
      <c r="T217" s="251"/>
      <c r="U217" s="219">
        <f>SUM(X218:X220)</f>
        <v>0</v>
      </c>
      <c r="V217" s="239">
        <v>0.2</v>
      </c>
      <c r="W217" s="81">
        <f t="shared" si="57"/>
        <v>0</v>
      </c>
      <c r="X217" s="82">
        <f t="shared" si="54"/>
        <v>0</v>
      </c>
      <c r="Y217" s="83" t="str">
        <f>IF(N217-$S$5&lt;=0,0,CONCATENATE(NETWORKDAYS($S$5,N217,holiday!$B$4:$B$20)))</f>
        <v>18</v>
      </c>
      <c r="Z217" s="84">
        <f t="shared" si="55"/>
        <v>0</v>
      </c>
      <c r="AA217" s="240"/>
      <c r="AB217" s="123"/>
    </row>
    <row r="218" spans="1:30" s="202" customFormat="1" ht="30" customHeight="1" x14ac:dyDescent="0.3">
      <c r="A218" s="96"/>
      <c r="B218" s="40">
        <v>245</v>
      </c>
      <c r="C218" s="76" t="s">
        <v>312</v>
      </c>
      <c r="D218" s="83">
        <v>4</v>
      </c>
      <c r="E218" s="78"/>
      <c r="F218" s="177"/>
      <c r="G218" s="177"/>
      <c r="H218" s="79"/>
      <c r="I218" s="79" t="s">
        <v>10</v>
      </c>
      <c r="J218" s="79"/>
      <c r="K218" s="79"/>
      <c r="L218" s="77" t="str">
        <f>CONCATENATE(NETWORKDAYS(M218,N218,holiday!B$4:B$20),"일")</f>
        <v>5일</v>
      </c>
      <c r="M218" s="106">
        <v>46139</v>
      </c>
      <c r="N218" s="106">
        <v>46143</v>
      </c>
      <c r="O218" s="107" t="s">
        <v>68</v>
      </c>
      <c r="P218" s="248" t="s">
        <v>183</v>
      </c>
      <c r="Q218" s="107" t="s">
        <v>414</v>
      </c>
      <c r="R218" s="80">
        <f>IF(COUNTBLANK(M218:N218)&gt;0,0,1/NETWORKDAYS(M218,N218,holiday!B$4:B$20)*(IF($S$5&lt;=M218,0,NETWORKDAYS(M218,IF($S$5&gt;N218,N218,$S$5),holiday!B$4:B$20))))</f>
        <v>0</v>
      </c>
      <c r="S218" s="218"/>
      <c r="T218" s="218"/>
      <c r="U218" s="219">
        <v>0</v>
      </c>
      <c r="V218" s="99">
        <v>0.4</v>
      </c>
      <c r="W218" s="81">
        <f t="shared" si="57"/>
        <v>0</v>
      </c>
      <c r="X218" s="82">
        <f t="shared" si="54"/>
        <v>0</v>
      </c>
      <c r="Y218" s="83" t="str">
        <f>IF(N218-$S$5&lt;=0,0,CONCATENATE(NETWORKDAYS($S$5,N218,holiday!$B$4:$B$20)))</f>
        <v>18</v>
      </c>
      <c r="Z218" s="84">
        <f t="shared" si="55"/>
        <v>0</v>
      </c>
      <c r="AA218" s="85"/>
      <c r="AB218" s="123"/>
    </row>
    <row r="219" spans="1:30" s="202" customFormat="1" ht="30" customHeight="1" x14ac:dyDescent="0.3">
      <c r="A219" s="96"/>
      <c r="B219" s="40">
        <v>246</v>
      </c>
      <c r="C219" s="76" t="s">
        <v>313</v>
      </c>
      <c r="D219" s="83">
        <v>4</v>
      </c>
      <c r="E219" s="78"/>
      <c r="F219" s="177"/>
      <c r="G219" s="177"/>
      <c r="H219" s="79"/>
      <c r="I219" s="79" t="s">
        <v>9</v>
      </c>
      <c r="J219" s="79"/>
      <c r="K219" s="79"/>
      <c r="L219" s="77" t="str">
        <f>CONCATENATE(NETWORKDAYS(M219,N219,holiday!B$4:B$20),"일")</f>
        <v>5일</v>
      </c>
      <c r="M219" s="306">
        <v>46139</v>
      </c>
      <c r="N219" s="306">
        <v>46143</v>
      </c>
      <c r="O219" s="107" t="s">
        <v>68</v>
      </c>
      <c r="P219" s="248" t="s">
        <v>75</v>
      </c>
      <c r="Q219" s="107" t="s">
        <v>244</v>
      </c>
      <c r="R219" s="80">
        <f>IF(COUNTBLANK(M219:N219)&gt;0,0,1/NETWORKDAYS(M219,N219,holiday!B$4:B$20)*(IF($S$5&lt;=M219,0,NETWORKDAYS(M219,IF($S$5&gt;N219,N219,$S$5),holiday!B$4:B$20))))</f>
        <v>0</v>
      </c>
      <c r="S219" s="218"/>
      <c r="T219" s="218"/>
      <c r="U219" s="219">
        <v>0</v>
      </c>
      <c r="V219" s="99">
        <v>0.3</v>
      </c>
      <c r="W219" s="81">
        <f t="shared" si="57"/>
        <v>0</v>
      </c>
      <c r="X219" s="82">
        <f t="shared" si="54"/>
        <v>0</v>
      </c>
      <c r="Y219" s="83" t="str">
        <f>IF(N219-$S$5&lt;=0,0,CONCATENATE(NETWORKDAYS($S$5,N219,holiday!$B$4:$B$20)))</f>
        <v>18</v>
      </c>
      <c r="Z219" s="84">
        <f t="shared" si="55"/>
        <v>0</v>
      </c>
      <c r="AA219" s="85"/>
      <c r="AB219" s="123"/>
    </row>
    <row r="220" spans="1:30" s="202" customFormat="1" ht="30" customHeight="1" x14ac:dyDescent="0.3">
      <c r="A220" s="96"/>
      <c r="B220" s="40">
        <v>247</v>
      </c>
      <c r="C220" s="76" t="s">
        <v>314</v>
      </c>
      <c r="D220" s="83">
        <v>4</v>
      </c>
      <c r="E220" s="177"/>
      <c r="F220" s="177"/>
      <c r="G220" s="177"/>
      <c r="H220" s="79"/>
      <c r="I220" s="79" t="s">
        <v>565</v>
      </c>
      <c r="J220" s="79"/>
      <c r="K220" s="79"/>
      <c r="L220" s="77" t="str">
        <f>CONCATENATE(NETWORKDAYS(M220,N220,holiday!B$4:B$20),"일")</f>
        <v>5일</v>
      </c>
      <c r="M220" s="273">
        <v>46139</v>
      </c>
      <c r="N220" s="273">
        <v>46143</v>
      </c>
      <c r="O220" s="107" t="s">
        <v>68</v>
      </c>
      <c r="P220" s="248" t="s">
        <v>61</v>
      </c>
      <c r="Q220" s="107" t="s">
        <v>413</v>
      </c>
      <c r="R220" s="80">
        <f>IF(COUNTBLANK(M220:N220)&gt;0,0,1/NETWORKDAYS(M220,N220,holiday!B$4:B$20)*(IF($S$5&lt;=M220,0,NETWORKDAYS(M220,IF($S$5&gt;N220,N220,$S$5),holiday!B$4:B$20))))</f>
        <v>0</v>
      </c>
      <c r="S220" s="218"/>
      <c r="T220" s="218"/>
      <c r="U220" s="219">
        <v>0</v>
      </c>
      <c r="V220" s="99">
        <v>0.3</v>
      </c>
      <c r="W220" s="81">
        <f t="shared" si="57"/>
        <v>0</v>
      </c>
      <c r="X220" s="82">
        <f t="shared" si="54"/>
        <v>0</v>
      </c>
      <c r="Y220" s="83" t="str">
        <f>IF(N220-$S$5&lt;=0,0,CONCATENATE(NETWORKDAYS($S$5,N220,holiday!$B$4:$B$20)))</f>
        <v>18</v>
      </c>
      <c r="Z220" s="84">
        <f t="shared" si="55"/>
        <v>0</v>
      </c>
      <c r="AA220" s="85"/>
      <c r="AB220" s="123"/>
    </row>
    <row r="221" spans="1:30" s="102" customFormat="1" ht="30" customHeight="1" x14ac:dyDescent="0.3">
      <c r="A221" s="53"/>
      <c r="B221" s="40">
        <v>248</v>
      </c>
      <c r="C221" s="86" t="s">
        <v>30</v>
      </c>
      <c r="D221" s="88">
        <v>1</v>
      </c>
      <c r="E221" s="87"/>
      <c r="F221" s="187" t="s">
        <v>206</v>
      </c>
      <c r="G221" s="187"/>
      <c r="H221" s="229"/>
      <c r="I221" s="229"/>
      <c r="J221" s="229"/>
      <c r="K221" s="229"/>
      <c r="L221" s="242" t="str">
        <f>CONCATENATE(NETWORKDAYS(M221,N221,holiday!B$4:B$20),"일")</f>
        <v>15일</v>
      </c>
      <c r="M221" s="188">
        <f>MIN(M222,M237,M257)</f>
        <v>46139</v>
      </c>
      <c r="N221" s="188">
        <f>MAX(N222,N237,N257)</f>
        <v>46160</v>
      </c>
      <c r="O221" s="189" t="s">
        <v>68</v>
      </c>
      <c r="P221" s="189" t="s">
        <v>68</v>
      </c>
      <c r="Q221" s="189" t="s">
        <v>243</v>
      </c>
      <c r="R221" s="89">
        <f>SUM(W222,W237,W257)</f>
        <v>0</v>
      </c>
      <c r="S221" s="188"/>
      <c r="T221" s="189"/>
      <c r="U221" s="89">
        <f>SUM(X222,X237,X257)</f>
        <v>0</v>
      </c>
      <c r="V221" s="90">
        <v>0.15</v>
      </c>
      <c r="W221" s="103">
        <f t="shared" si="57"/>
        <v>0</v>
      </c>
      <c r="X221" s="91">
        <f t="shared" si="54"/>
        <v>0</v>
      </c>
      <c r="Y221" s="88" t="str">
        <f>IF(N221-$S$5&lt;=0,0,CONCATENATE(NETWORKDAYS($S$5,N221,holiday!$B$4:$B$20)))</f>
        <v>28</v>
      </c>
      <c r="Z221" s="92">
        <f t="shared" si="55"/>
        <v>0</v>
      </c>
      <c r="AA221" s="243"/>
      <c r="AB221" s="125"/>
      <c r="AD221" s="203"/>
    </row>
    <row r="222" spans="1:30" s="93" customFormat="1" ht="30" customHeight="1" x14ac:dyDescent="0.3">
      <c r="B222" s="40">
        <v>249</v>
      </c>
      <c r="C222" s="64" t="s">
        <v>34</v>
      </c>
      <c r="D222" s="72">
        <v>2</v>
      </c>
      <c r="E222" s="66"/>
      <c r="F222" s="190"/>
      <c r="G222" s="190" t="s">
        <v>42</v>
      </c>
      <c r="H222" s="67"/>
      <c r="I222" s="67"/>
      <c r="J222" s="67"/>
      <c r="K222" s="67"/>
      <c r="L222" s="65" t="str">
        <f>CONCATENATE(NETWORKDAYS(M222,N222,holiday!B$4:B$20),"일")</f>
        <v>14일</v>
      </c>
      <c r="M222" s="247">
        <f>MIN(M223,M227,M231,M235)</f>
        <v>46139</v>
      </c>
      <c r="N222" s="247">
        <f>MAX(N223,N227,N231,N235)</f>
        <v>46157</v>
      </c>
      <c r="O222" s="113" t="s">
        <v>68</v>
      </c>
      <c r="P222" s="113" t="s">
        <v>68</v>
      </c>
      <c r="Q222" s="113" t="s">
        <v>243</v>
      </c>
      <c r="R222" s="69">
        <f>SUM(W223,W227,W231,W235)</f>
        <v>0</v>
      </c>
      <c r="S222" s="247"/>
      <c r="T222" s="247"/>
      <c r="U222" s="69">
        <f>SUM(X223,X227,X231,X235)</f>
        <v>0</v>
      </c>
      <c r="V222" s="100">
        <v>0.4</v>
      </c>
      <c r="W222" s="70">
        <f t="shared" si="57"/>
        <v>0</v>
      </c>
      <c r="X222" s="71">
        <f t="shared" si="54"/>
        <v>0</v>
      </c>
      <c r="Y222" s="72" t="str">
        <f>IF(N222-$S$5&lt;=0,0,CONCATENATE(NETWORKDAYS($S$5,N222,holiday!$B$4:$B$20)))</f>
        <v>27</v>
      </c>
      <c r="Z222" s="73">
        <f t="shared" si="55"/>
        <v>0</v>
      </c>
      <c r="AA222" s="74"/>
      <c r="AB222" s="124"/>
    </row>
    <row r="223" spans="1:30" s="102" customFormat="1" ht="30" customHeight="1" x14ac:dyDescent="0.3">
      <c r="A223" s="96"/>
      <c r="B223" s="40">
        <v>250</v>
      </c>
      <c r="C223" s="76" t="s">
        <v>315</v>
      </c>
      <c r="D223" s="83">
        <v>3</v>
      </c>
      <c r="E223" s="78"/>
      <c r="F223" s="177"/>
      <c r="G223" s="177"/>
      <c r="H223" s="233" t="s">
        <v>4</v>
      </c>
      <c r="I223" s="79"/>
      <c r="J223" s="79"/>
      <c r="K223" s="79"/>
      <c r="L223" s="77" t="str">
        <f>CONCATENATE(NETWORKDAYS(M223,N223,holiday!B$4:B$20),"일")</f>
        <v>5일</v>
      </c>
      <c r="M223" s="106">
        <f>MIN(M224,M225,M226)</f>
        <v>46139</v>
      </c>
      <c r="N223" s="106">
        <f>MAX(N224,N225,N226)</f>
        <v>46143</v>
      </c>
      <c r="O223" s="107" t="s">
        <v>68</v>
      </c>
      <c r="P223" s="248" t="s">
        <v>68</v>
      </c>
      <c r="Q223" s="250" t="s">
        <v>243</v>
      </c>
      <c r="R223" s="80">
        <f>SUM(W224:W226)</f>
        <v>0</v>
      </c>
      <c r="S223" s="218"/>
      <c r="T223" s="218"/>
      <c r="U223" s="219">
        <f>SUM(X224:X226)</f>
        <v>0</v>
      </c>
      <c r="V223" s="99">
        <v>0.25</v>
      </c>
      <c r="W223" s="81">
        <f t="shared" si="57"/>
        <v>0</v>
      </c>
      <c r="X223" s="82">
        <f t="shared" si="54"/>
        <v>0</v>
      </c>
      <c r="Y223" s="83" t="str">
        <f>IF(N223-$S$5&lt;=0,0,CONCATENATE(NETWORKDAYS($S$5,N223,holiday!$B$4:$B$20)))</f>
        <v>18</v>
      </c>
      <c r="Z223" s="84">
        <f t="shared" si="55"/>
        <v>0</v>
      </c>
      <c r="AA223" s="85"/>
      <c r="AB223" s="125"/>
    </row>
    <row r="224" spans="1:30" s="202" customFormat="1" ht="30" customHeight="1" x14ac:dyDescent="0.3">
      <c r="A224" s="96"/>
      <c r="B224" s="40">
        <v>251</v>
      </c>
      <c r="C224" s="76" t="s">
        <v>316</v>
      </c>
      <c r="D224" s="83">
        <v>4</v>
      </c>
      <c r="E224" s="78"/>
      <c r="F224" s="177"/>
      <c r="G224" s="177"/>
      <c r="H224" s="79"/>
      <c r="I224" s="79" t="s">
        <v>8</v>
      </c>
      <c r="J224" s="79"/>
      <c r="K224" s="79"/>
      <c r="L224" s="77" t="str">
        <f>CONCATENATE(NETWORKDAYS(M224,N224,holiday!B$4:B$20),"일")</f>
        <v>3일</v>
      </c>
      <c r="M224" s="106">
        <v>46139</v>
      </c>
      <c r="N224" s="106">
        <v>46141</v>
      </c>
      <c r="O224" s="107" t="s">
        <v>68</v>
      </c>
      <c r="P224" s="248" t="s">
        <v>183</v>
      </c>
      <c r="Q224" s="107" t="s">
        <v>414</v>
      </c>
      <c r="R224" s="80">
        <f>IF(COUNTBLANK(M224:N224)&gt;0,0,1/NETWORKDAYS(M224,N224,holiday!B$4:B$20)*(IF($S$5&lt;=M224,0,NETWORKDAYS(M224,IF($S$5&gt;N224,N224,$S$5),holiday!B$4:B$20))))</f>
        <v>0</v>
      </c>
      <c r="S224" s="218"/>
      <c r="T224" s="218"/>
      <c r="U224" s="219">
        <v>0</v>
      </c>
      <c r="V224" s="99">
        <v>0.4</v>
      </c>
      <c r="W224" s="81">
        <f t="shared" si="57"/>
        <v>0</v>
      </c>
      <c r="X224" s="82">
        <f t="shared" ref="X224:X285" si="62">U224*V224</f>
        <v>0</v>
      </c>
      <c r="Y224" s="83" t="str">
        <f>IF(N224-$S$5&lt;=0,0,CONCATENATE(NETWORKDAYS($S$5,N224,holiday!$B$4:$B$20)))</f>
        <v>16</v>
      </c>
      <c r="Z224" s="84">
        <f t="shared" ref="Z224:Z285" si="63">IF(SUM(W224:X224)&gt;0,(X224-W224)/V224,0)</f>
        <v>0</v>
      </c>
      <c r="AA224" s="85"/>
      <c r="AB224" s="123"/>
    </row>
    <row r="225" spans="1:28" s="202" customFormat="1" ht="30" customHeight="1" x14ac:dyDescent="0.3">
      <c r="A225" s="96"/>
      <c r="B225" s="40">
        <v>252</v>
      </c>
      <c r="C225" s="76" t="s">
        <v>317</v>
      </c>
      <c r="D225" s="83">
        <v>4</v>
      </c>
      <c r="E225" s="78"/>
      <c r="F225" s="177"/>
      <c r="G225" s="177"/>
      <c r="H225" s="79"/>
      <c r="I225" s="79" t="s">
        <v>9</v>
      </c>
      <c r="J225" s="79"/>
      <c r="K225" s="79"/>
      <c r="L225" s="77" t="str">
        <f>CONCATENATE(NETWORKDAYS(M225,N225,holiday!B$4:B$20),"일")</f>
        <v>3일</v>
      </c>
      <c r="M225" s="273">
        <v>46139</v>
      </c>
      <c r="N225" s="273">
        <v>46141</v>
      </c>
      <c r="O225" s="107" t="s">
        <v>68</v>
      </c>
      <c r="P225" s="248" t="s">
        <v>75</v>
      </c>
      <c r="Q225" s="107" t="s">
        <v>244</v>
      </c>
      <c r="R225" s="80">
        <f>IF(COUNTBLANK(M225:N225)&gt;0,0,1/NETWORKDAYS(M225,N225,holiday!B$4:B$20)*(IF($S$5&lt;=M225,0,NETWORKDAYS(M225,IF($S$5&gt;N225,N225,$S$5),holiday!B$4:B$20))))</f>
        <v>0</v>
      </c>
      <c r="S225" s="218"/>
      <c r="T225" s="218"/>
      <c r="U225" s="219">
        <v>0</v>
      </c>
      <c r="V225" s="99">
        <v>0.3</v>
      </c>
      <c r="W225" s="81">
        <f t="shared" si="57"/>
        <v>0</v>
      </c>
      <c r="X225" s="82">
        <f t="shared" si="62"/>
        <v>0</v>
      </c>
      <c r="Y225" s="83" t="str">
        <f>IF(N225-$S$5&lt;=0,0,CONCATENATE(NETWORKDAYS($S$5,N225,holiday!$B$4:$B$20)))</f>
        <v>16</v>
      </c>
      <c r="Z225" s="84">
        <f t="shared" si="63"/>
        <v>0</v>
      </c>
      <c r="AA225" s="85"/>
      <c r="AB225" s="123"/>
    </row>
    <row r="226" spans="1:28" s="202" customFormat="1" ht="30" customHeight="1" x14ac:dyDescent="0.3">
      <c r="A226" s="96"/>
      <c r="B226" s="40">
        <v>253</v>
      </c>
      <c r="C226" s="76" t="s">
        <v>318</v>
      </c>
      <c r="D226" s="83">
        <v>4</v>
      </c>
      <c r="E226" s="177"/>
      <c r="F226" s="177"/>
      <c r="G226" s="177"/>
      <c r="H226" s="79"/>
      <c r="I226" s="79" t="s">
        <v>565</v>
      </c>
      <c r="J226" s="79"/>
      <c r="K226" s="79"/>
      <c r="L226" s="77" t="str">
        <f>CONCATENATE(NETWORKDAYS(M226,N226,holiday!B$4:B$20),"일")</f>
        <v>5일</v>
      </c>
      <c r="M226" s="273">
        <v>46139</v>
      </c>
      <c r="N226" s="273">
        <v>46143</v>
      </c>
      <c r="O226" s="107" t="s">
        <v>68</v>
      </c>
      <c r="P226" s="248" t="s">
        <v>61</v>
      </c>
      <c r="Q226" s="107" t="s">
        <v>413</v>
      </c>
      <c r="R226" s="80">
        <f>IF(COUNTBLANK(M226:N226)&gt;0,0,1/NETWORKDAYS(M226,N226,holiday!B$4:B$20)*(IF($S$5&lt;=M226,0,NETWORKDAYS(M226,IF($S$5&gt;N226,N226,$S$5),holiday!B$4:B$20))))</f>
        <v>0</v>
      </c>
      <c r="S226" s="218"/>
      <c r="T226" s="218"/>
      <c r="U226" s="219">
        <v>0</v>
      </c>
      <c r="V226" s="99">
        <v>0.3</v>
      </c>
      <c r="W226" s="81">
        <f t="shared" si="57"/>
        <v>0</v>
      </c>
      <c r="X226" s="82">
        <f t="shared" si="62"/>
        <v>0</v>
      </c>
      <c r="Y226" s="83" t="str">
        <f>IF(N226-$S$5&lt;=0,0,CONCATENATE(NETWORKDAYS($S$5,N226,holiday!$B$4:$B$20)))</f>
        <v>18</v>
      </c>
      <c r="Z226" s="84">
        <f t="shared" si="63"/>
        <v>0</v>
      </c>
      <c r="AA226" s="85"/>
      <c r="AB226" s="123"/>
    </row>
    <row r="227" spans="1:28" s="93" customFormat="1" ht="30" customHeight="1" x14ac:dyDescent="0.3">
      <c r="A227" s="96"/>
      <c r="B227" s="40">
        <v>254</v>
      </c>
      <c r="C227" s="76" t="s">
        <v>319</v>
      </c>
      <c r="D227" s="83">
        <v>3</v>
      </c>
      <c r="E227" s="78"/>
      <c r="F227" s="177"/>
      <c r="G227" s="177"/>
      <c r="H227" s="235" t="s">
        <v>129</v>
      </c>
      <c r="I227" s="79"/>
      <c r="J227" s="79"/>
      <c r="K227" s="79"/>
      <c r="L227" s="77" t="str">
        <f>CONCATENATE(NETWORKDAYS(M227,N227,holiday!B$4:B$20),"일")</f>
        <v>7일</v>
      </c>
      <c r="M227" s="250">
        <f>MIN(M228,M229,M230)</f>
        <v>46143</v>
      </c>
      <c r="N227" s="250">
        <f>MAX(N228,N229,N230)</f>
        <v>46154</v>
      </c>
      <c r="O227" s="107" t="s">
        <v>68</v>
      </c>
      <c r="P227" s="107" t="s">
        <v>68</v>
      </c>
      <c r="Q227" s="107" t="s">
        <v>243</v>
      </c>
      <c r="R227" s="80">
        <f>SUM(W228:W230)</f>
        <v>0</v>
      </c>
      <c r="S227" s="244"/>
      <c r="T227" s="244"/>
      <c r="U227" s="219">
        <f>SUM(X228:X230)</f>
        <v>0</v>
      </c>
      <c r="V227" s="99">
        <v>0.25</v>
      </c>
      <c r="W227" s="81">
        <f t="shared" si="57"/>
        <v>0</v>
      </c>
      <c r="X227" s="82">
        <f t="shared" si="62"/>
        <v>0</v>
      </c>
      <c r="Y227" s="83" t="str">
        <f>IF(N227-$S$5&lt;=0,0,CONCATENATE(NETWORKDAYS($S$5,N227,holiday!$B$4:$B$20)))</f>
        <v>24</v>
      </c>
      <c r="Z227" s="84">
        <f t="shared" si="63"/>
        <v>0</v>
      </c>
      <c r="AA227" s="85"/>
      <c r="AB227" s="174"/>
    </row>
    <row r="228" spans="1:28" s="202" customFormat="1" ht="30" customHeight="1" x14ac:dyDescent="0.3">
      <c r="A228" s="96"/>
      <c r="B228" s="40">
        <v>255</v>
      </c>
      <c r="C228" s="76" t="s">
        <v>320</v>
      </c>
      <c r="D228" s="83">
        <v>4</v>
      </c>
      <c r="E228" s="78"/>
      <c r="F228" s="177"/>
      <c r="G228" s="177"/>
      <c r="H228" s="79"/>
      <c r="I228" s="79" t="s">
        <v>8</v>
      </c>
      <c r="J228" s="79"/>
      <c r="K228" s="79"/>
      <c r="L228" s="77" t="str">
        <f>CONCATENATE(NETWORKDAYS(M228,N228,holiday!B$4:B$20),"일")</f>
        <v>2일</v>
      </c>
      <c r="M228" s="106">
        <v>46143</v>
      </c>
      <c r="N228" s="106">
        <v>46146</v>
      </c>
      <c r="O228" s="107" t="s">
        <v>68</v>
      </c>
      <c r="P228" s="248" t="s">
        <v>183</v>
      </c>
      <c r="Q228" s="107" t="s">
        <v>414</v>
      </c>
      <c r="R228" s="80">
        <f>IF(COUNTBLANK(M228:N228)&gt;0,0,1/NETWORKDAYS(M228,N228,holiday!B$4:B$20)*(IF($S$5&lt;=M228,0,NETWORKDAYS(M228,IF($S$5&gt;N228,N228,$S$5),holiday!B$4:B$20))))</f>
        <v>0</v>
      </c>
      <c r="S228" s="218"/>
      <c r="T228" s="218"/>
      <c r="U228" s="219">
        <v>0</v>
      </c>
      <c r="V228" s="99">
        <v>0.4</v>
      </c>
      <c r="W228" s="81">
        <f t="shared" si="57"/>
        <v>0</v>
      </c>
      <c r="X228" s="82">
        <f t="shared" si="62"/>
        <v>0</v>
      </c>
      <c r="Y228" s="83" t="str">
        <f>IF(N228-$S$5&lt;=0,0,CONCATENATE(NETWORKDAYS($S$5,N228,holiday!$B$4:$B$20)))</f>
        <v>19</v>
      </c>
      <c r="Z228" s="84">
        <f t="shared" si="63"/>
        <v>0</v>
      </c>
      <c r="AA228" s="85"/>
      <c r="AB228" s="123"/>
    </row>
    <row r="229" spans="1:28" s="202" customFormat="1" ht="30" customHeight="1" x14ac:dyDescent="0.3">
      <c r="A229" s="96"/>
      <c r="B229" s="40">
        <v>256</v>
      </c>
      <c r="C229" s="76" t="s">
        <v>321</v>
      </c>
      <c r="D229" s="83">
        <v>4</v>
      </c>
      <c r="E229" s="78"/>
      <c r="F229" s="177"/>
      <c r="G229" s="177"/>
      <c r="H229" s="79"/>
      <c r="I229" s="79" t="s">
        <v>9</v>
      </c>
      <c r="J229" s="79"/>
      <c r="K229" s="79"/>
      <c r="L229" s="77" t="str">
        <f>CONCATENATE(NETWORKDAYS(M229,N229,holiday!B$4:B$20),"일")</f>
        <v>2일</v>
      </c>
      <c r="M229" s="273">
        <v>46143</v>
      </c>
      <c r="N229" s="273">
        <v>46146</v>
      </c>
      <c r="O229" s="107" t="s">
        <v>68</v>
      </c>
      <c r="P229" s="248" t="s">
        <v>75</v>
      </c>
      <c r="Q229" s="107" t="s">
        <v>244</v>
      </c>
      <c r="R229" s="80">
        <f>IF(COUNTBLANK(M229:N229)&gt;0,0,1/NETWORKDAYS(M229,N229,holiday!B$4:B$20)*(IF($S$5&lt;=M229,0,NETWORKDAYS(M229,IF($S$5&gt;N229,N229,$S$5),holiday!B$4:B$20))))</f>
        <v>0</v>
      </c>
      <c r="S229" s="218"/>
      <c r="T229" s="218"/>
      <c r="U229" s="219">
        <v>0</v>
      </c>
      <c r="V229" s="99">
        <v>0.3</v>
      </c>
      <c r="W229" s="81">
        <f t="shared" si="57"/>
        <v>0</v>
      </c>
      <c r="X229" s="82">
        <f t="shared" si="62"/>
        <v>0</v>
      </c>
      <c r="Y229" s="83" t="str">
        <f>IF(N229-$S$5&lt;=0,0,CONCATENATE(NETWORKDAYS($S$5,N229,holiday!$B$4:$B$20)))</f>
        <v>19</v>
      </c>
      <c r="Z229" s="84">
        <f t="shared" si="63"/>
        <v>0</v>
      </c>
      <c r="AA229" s="85"/>
      <c r="AB229" s="123"/>
    </row>
    <row r="230" spans="1:28" s="202" customFormat="1" ht="30" customHeight="1" x14ac:dyDescent="0.3">
      <c r="A230" s="96"/>
      <c r="B230" s="40">
        <v>257</v>
      </c>
      <c r="C230" s="76" t="s">
        <v>322</v>
      </c>
      <c r="D230" s="83">
        <v>4</v>
      </c>
      <c r="E230" s="177"/>
      <c r="F230" s="177"/>
      <c r="G230" s="177"/>
      <c r="H230" s="79"/>
      <c r="I230" s="79" t="s">
        <v>565</v>
      </c>
      <c r="J230" s="79"/>
      <c r="K230" s="79"/>
      <c r="L230" s="77" t="str">
        <f>CONCATENATE(NETWORKDAYS(M230,N230,holiday!B$4:B$20),"일")</f>
        <v>2일</v>
      </c>
      <c r="M230" s="273">
        <v>46153</v>
      </c>
      <c r="N230" s="273">
        <v>46154</v>
      </c>
      <c r="O230" s="107" t="s">
        <v>68</v>
      </c>
      <c r="P230" s="248" t="s">
        <v>61</v>
      </c>
      <c r="Q230" s="107" t="s">
        <v>413</v>
      </c>
      <c r="R230" s="80">
        <f>IF(COUNTBLANK(M230:N230)&gt;0,0,1/NETWORKDAYS(M230,N230,holiday!B$4:B$20)*(IF($S$5&lt;=M230,0,NETWORKDAYS(M230,IF($S$5&gt;N230,N230,$S$5),holiday!B$4:B$20))))</f>
        <v>0</v>
      </c>
      <c r="S230" s="218"/>
      <c r="T230" s="218"/>
      <c r="U230" s="219">
        <v>0</v>
      </c>
      <c r="V230" s="99">
        <v>0.3</v>
      </c>
      <c r="W230" s="81">
        <f t="shared" si="57"/>
        <v>0</v>
      </c>
      <c r="X230" s="82">
        <f t="shared" si="62"/>
        <v>0</v>
      </c>
      <c r="Y230" s="83" t="str">
        <f>IF(N230-$S$5&lt;=0,0,CONCATENATE(NETWORKDAYS($S$5,N230,holiday!$B$4:$B$20)))</f>
        <v>24</v>
      </c>
      <c r="Z230" s="84">
        <f t="shared" si="63"/>
        <v>0</v>
      </c>
      <c r="AA230" s="85" t="s">
        <v>509</v>
      </c>
      <c r="AB230" s="123"/>
    </row>
    <row r="231" spans="1:28" s="93" customFormat="1" ht="30" customHeight="1" x14ac:dyDescent="0.3">
      <c r="A231" s="96"/>
      <c r="B231" s="40">
        <v>258</v>
      </c>
      <c r="C231" s="76" t="s">
        <v>323</v>
      </c>
      <c r="D231" s="83">
        <v>3</v>
      </c>
      <c r="E231" s="78"/>
      <c r="F231" s="177"/>
      <c r="G231" s="177"/>
      <c r="H231" s="235" t="s">
        <v>6</v>
      </c>
      <c r="I231" s="79"/>
      <c r="J231" s="79"/>
      <c r="K231" s="79"/>
      <c r="L231" s="77" t="str">
        <f>CONCATENATE(NETWORKDAYS(M231,N231,holiday!B$4:B$20),"일")</f>
        <v>10일</v>
      </c>
      <c r="M231" s="250">
        <f>MIN(M232,M233,M234)</f>
        <v>46143</v>
      </c>
      <c r="N231" s="250">
        <f>MAX(N232,N233,N234)</f>
        <v>46157</v>
      </c>
      <c r="O231" s="107" t="s">
        <v>68</v>
      </c>
      <c r="P231" s="107" t="s">
        <v>68</v>
      </c>
      <c r="Q231" s="107" t="s">
        <v>243</v>
      </c>
      <c r="R231" s="80">
        <f>SUM(W232:W234)</f>
        <v>0</v>
      </c>
      <c r="S231" s="244"/>
      <c r="T231" s="244"/>
      <c r="U231" s="219">
        <f>SUM(X232:X234)</f>
        <v>0</v>
      </c>
      <c r="V231" s="99">
        <v>0.25</v>
      </c>
      <c r="W231" s="81">
        <f t="shared" si="57"/>
        <v>0</v>
      </c>
      <c r="X231" s="82">
        <f t="shared" si="62"/>
        <v>0</v>
      </c>
      <c r="Y231" s="83" t="str">
        <f>IF(N231-$S$5&lt;=0,0,CONCATENATE(NETWORKDAYS($S$5,N231,holiday!$B$4:$B$20)))</f>
        <v>27</v>
      </c>
      <c r="Z231" s="84">
        <f t="shared" si="63"/>
        <v>0</v>
      </c>
      <c r="AA231" s="85"/>
      <c r="AB231" s="174"/>
    </row>
    <row r="232" spans="1:28" s="202" customFormat="1" ht="30" customHeight="1" x14ac:dyDescent="0.3">
      <c r="A232" s="96"/>
      <c r="B232" s="40">
        <v>259</v>
      </c>
      <c r="C232" s="76" t="s">
        <v>324</v>
      </c>
      <c r="D232" s="83">
        <v>4</v>
      </c>
      <c r="E232" s="78"/>
      <c r="F232" s="177"/>
      <c r="G232" s="177"/>
      <c r="H232" s="79"/>
      <c r="I232" s="79" t="s">
        <v>8</v>
      </c>
      <c r="J232" s="79"/>
      <c r="K232" s="79"/>
      <c r="L232" s="77" t="str">
        <f>CONCATENATE(NETWORKDAYS(M232,N232,holiday!B$4:B$20),"일")</f>
        <v>3일</v>
      </c>
      <c r="M232" s="106">
        <v>46143</v>
      </c>
      <c r="N232" s="106">
        <v>46148</v>
      </c>
      <c r="O232" s="107" t="s">
        <v>68</v>
      </c>
      <c r="P232" s="248" t="s">
        <v>183</v>
      </c>
      <c r="Q232" s="107" t="s">
        <v>414</v>
      </c>
      <c r="R232" s="80">
        <f>IF(COUNTBLANK(M232:N232)&gt;0,0,1/NETWORKDAYS(M232,N232,holiday!B$4:B$20)*(IF($S$5&lt;=M232,0,NETWORKDAYS(M232,IF($S$5&gt;N232,N232,$S$5),holiday!B$4:B$20))))</f>
        <v>0</v>
      </c>
      <c r="S232" s="244"/>
      <c r="T232" s="244"/>
      <c r="U232" s="219">
        <v>0</v>
      </c>
      <c r="V232" s="99">
        <v>0.4</v>
      </c>
      <c r="W232" s="81">
        <f t="shared" si="57"/>
        <v>0</v>
      </c>
      <c r="X232" s="82">
        <f t="shared" si="62"/>
        <v>0</v>
      </c>
      <c r="Y232" s="83" t="str">
        <f>IF(N232-$S$5&lt;=0,0,CONCATENATE(NETWORKDAYS($S$5,N232,holiday!$B$4:$B$20)))</f>
        <v>20</v>
      </c>
      <c r="Z232" s="84">
        <f t="shared" si="63"/>
        <v>0</v>
      </c>
      <c r="AA232" s="85"/>
      <c r="AB232" s="123"/>
    </row>
    <row r="233" spans="1:28" s="202" customFormat="1" ht="30" customHeight="1" x14ac:dyDescent="0.3">
      <c r="A233" s="96"/>
      <c r="B233" s="40">
        <v>260</v>
      </c>
      <c r="C233" s="76" t="s">
        <v>325</v>
      </c>
      <c r="D233" s="83">
        <v>4</v>
      </c>
      <c r="E233" s="78"/>
      <c r="F233" s="177"/>
      <c r="G233" s="177"/>
      <c r="H233" s="79"/>
      <c r="I233" s="79" t="s">
        <v>9</v>
      </c>
      <c r="J233" s="79"/>
      <c r="K233" s="79"/>
      <c r="L233" s="77" t="str">
        <f>CONCATENATE(NETWORKDAYS(M233,N233,holiday!B$4:B$20),"일")</f>
        <v>3일</v>
      </c>
      <c r="M233" s="273">
        <v>46143</v>
      </c>
      <c r="N233" s="273">
        <v>46148</v>
      </c>
      <c r="O233" s="107" t="s">
        <v>68</v>
      </c>
      <c r="P233" s="248" t="s">
        <v>75</v>
      </c>
      <c r="Q233" s="107" t="s">
        <v>244</v>
      </c>
      <c r="R233" s="80">
        <f>IF(COUNTBLANK(M233:N233)&gt;0,0,1/NETWORKDAYS(M233,N233,holiday!B$4:B$20)*(IF($S$5&lt;=M233,0,NETWORKDAYS(M233,IF($S$5&gt;N233,N233,$S$5),holiday!B$4:B$20))))</f>
        <v>0</v>
      </c>
      <c r="S233" s="244"/>
      <c r="T233" s="244"/>
      <c r="U233" s="219">
        <v>0</v>
      </c>
      <c r="V233" s="99">
        <v>0.3</v>
      </c>
      <c r="W233" s="81">
        <f t="shared" si="57"/>
        <v>0</v>
      </c>
      <c r="X233" s="82">
        <f t="shared" si="62"/>
        <v>0</v>
      </c>
      <c r="Y233" s="83" t="str">
        <f>IF(N233-$S$5&lt;=0,0,CONCATENATE(NETWORKDAYS($S$5,N233,holiday!$B$4:$B$20)))</f>
        <v>20</v>
      </c>
      <c r="Z233" s="84">
        <f t="shared" si="63"/>
        <v>0</v>
      </c>
      <c r="AA233" s="85"/>
      <c r="AB233" s="123"/>
    </row>
    <row r="234" spans="1:28" s="202" customFormat="1" ht="30" customHeight="1" x14ac:dyDescent="0.3">
      <c r="A234" s="96"/>
      <c r="B234" s="40">
        <v>261</v>
      </c>
      <c r="C234" s="76" t="s">
        <v>326</v>
      </c>
      <c r="D234" s="83">
        <v>4</v>
      </c>
      <c r="E234" s="177"/>
      <c r="F234" s="177"/>
      <c r="G234" s="177"/>
      <c r="H234" s="79"/>
      <c r="I234" s="79" t="s">
        <v>565</v>
      </c>
      <c r="J234" s="79"/>
      <c r="K234" s="79"/>
      <c r="L234" s="77" t="str">
        <f>CONCATENATE(NETWORKDAYS(M234,N234,holiday!B$4:B$20),"일")</f>
        <v>3일</v>
      </c>
      <c r="M234" s="273">
        <v>46155</v>
      </c>
      <c r="N234" s="273">
        <v>46157</v>
      </c>
      <c r="O234" s="107" t="s">
        <v>68</v>
      </c>
      <c r="P234" s="248" t="s">
        <v>61</v>
      </c>
      <c r="Q234" s="107" t="s">
        <v>519</v>
      </c>
      <c r="R234" s="80">
        <f>IF(COUNTBLANK(M234:N234)&gt;0,0,1/NETWORKDAYS(M234,N234,holiday!B$4:B$20)*(IF($S$5&lt;=M234,0,NETWORKDAYS(M234,IF($S$5&gt;N234,N234,$S$5),holiday!B$4:B$20))))</f>
        <v>0</v>
      </c>
      <c r="S234" s="244"/>
      <c r="T234" s="244"/>
      <c r="U234" s="219">
        <v>0</v>
      </c>
      <c r="V234" s="99">
        <v>0.3</v>
      </c>
      <c r="W234" s="81">
        <f t="shared" si="57"/>
        <v>0</v>
      </c>
      <c r="X234" s="82">
        <f t="shared" si="62"/>
        <v>0</v>
      </c>
      <c r="Y234" s="83" t="str">
        <f>IF(N234-$S$5&lt;=0,0,CONCATENATE(NETWORKDAYS($S$5,N234,holiday!$B$4:$B$20)))</f>
        <v>27</v>
      </c>
      <c r="Z234" s="84">
        <f t="shared" si="63"/>
        <v>0</v>
      </c>
      <c r="AA234" s="85" t="s">
        <v>509</v>
      </c>
      <c r="AB234" s="123"/>
    </row>
    <row r="235" spans="1:28" s="93" customFormat="1" ht="30" customHeight="1" x14ac:dyDescent="0.3">
      <c r="A235" s="96"/>
      <c r="B235" s="40">
        <v>262</v>
      </c>
      <c r="C235" s="76" t="s">
        <v>327</v>
      </c>
      <c r="D235" s="83">
        <v>3</v>
      </c>
      <c r="E235" s="78"/>
      <c r="F235" s="177"/>
      <c r="G235" s="177"/>
      <c r="H235" s="235" t="s">
        <v>142</v>
      </c>
      <c r="I235" s="79"/>
      <c r="J235" s="79"/>
      <c r="K235" s="79"/>
      <c r="L235" s="77" t="str">
        <f>CONCATENATE(NETWORKDAYS(M235,N235,holiday!B$4:B$20),"일")</f>
        <v>1일</v>
      </c>
      <c r="M235" s="250">
        <f>MIN(M236)</f>
        <v>46157</v>
      </c>
      <c r="N235" s="250">
        <f>MAX(N236)</f>
        <v>46157</v>
      </c>
      <c r="O235" s="107" t="s">
        <v>68</v>
      </c>
      <c r="P235" s="107" t="s">
        <v>68</v>
      </c>
      <c r="Q235" s="107" t="s">
        <v>243</v>
      </c>
      <c r="R235" s="80">
        <f>SUM(W236)</f>
        <v>0</v>
      </c>
      <c r="S235" s="244"/>
      <c r="T235" s="244"/>
      <c r="U235" s="219">
        <f>SUM(X236)</f>
        <v>0</v>
      </c>
      <c r="V235" s="99">
        <v>0.25</v>
      </c>
      <c r="W235" s="81">
        <f t="shared" si="57"/>
        <v>0</v>
      </c>
      <c r="X235" s="82">
        <f t="shared" si="62"/>
        <v>0</v>
      </c>
      <c r="Y235" s="83" t="str">
        <f>IF(N235-$S$5&lt;=0,0,CONCATENATE(NETWORKDAYS($S$5,N235,holiday!$B$4:$B$20)))</f>
        <v>27</v>
      </c>
      <c r="Z235" s="84">
        <f t="shared" si="63"/>
        <v>0</v>
      </c>
      <c r="AA235" s="85"/>
      <c r="AB235" s="174"/>
    </row>
    <row r="236" spans="1:28" s="238" customFormat="1" ht="30" customHeight="1" x14ac:dyDescent="0.3">
      <c r="A236" s="96"/>
      <c r="B236" s="40">
        <v>263</v>
      </c>
      <c r="C236" s="76" t="s">
        <v>328</v>
      </c>
      <c r="D236" s="83">
        <v>4</v>
      </c>
      <c r="E236" s="177"/>
      <c r="F236" s="177"/>
      <c r="G236" s="177"/>
      <c r="H236" s="177"/>
      <c r="I236" s="177" t="s">
        <v>146</v>
      </c>
      <c r="J236" s="79"/>
      <c r="K236" s="79"/>
      <c r="L236" s="77" t="str">
        <f>CONCATENATE(NETWORKDAYS(M236,N236,holiday!B$4:B$20),"일")</f>
        <v>1일</v>
      </c>
      <c r="M236" s="250">
        <v>46157</v>
      </c>
      <c r="N236" s="250">
        <v>46157</v>
      </c>
      <c r="O236" s="107" t="s">
        <v>68</v>
      </c>
      <c r="P236" s="107" t="s">
        <v>68</v>
      </c>
      <c r="Q236" s="107" t="s">
        <v>243</v>
      </c>
      <c r="R236" s="80">
        <f>IF(COUNTBLANK(M236:N236)&gt;0,0,1/NETWORKDAYS(M236,N236,holiday!B$4:B$20)*(IF($S$5&lt;=M236,0,NETWORKDAYS(M236,IF($S$5&gt;N236,N236,$S$5),holiday!B$4:B$20))))</f>
        <v>0</v>
      </c>
      <c r="S236" s="244"/>
      <c r="T236" s="244"/>
      <c r="U236" s="219">
        <v>0</v>
      </c>
      <c r="V236" s="99">
        <v>1</v>
      </c>
      <c r="W236" s="81">
        <f t="shared" si="57"/>
        <v>0</v>
      </c>
      <c r="X236" s="82">
        <f t="shared" si="62"/>
        <v>0</v>
      </c>
      <c r="Y236" s="83" t="str">
        <f>IF(N236-$S$5&lt;=0,0,CONCATENATE(NETWORKDAYS($S$5,N236,holiday!$B$4:$B$20)))</f>
        <v>27</v>
      </c>
      <c r="Z236" s="84">
        <f t="shared" si="63"/>
        <v>0</v>
      </c>
      <c r="AA236" s="85"/>
      <c r="AB236" s="237"/>
    </row>
    <row r="237" spans="1:28" s="202" customFormat="1" ht="30" customHeight="1" x14ac:dyDescent="0.3">
      <c r="A237" s="93"/>
      <c r="B237" s="40">
        <v>264</v>
      </c>
      <c r="C237" s="64" t="s">
        <v>138</v>
      </c>
      <c r="D237" s="72">
        <v>2</v>
      </c>
      <c r="E237" s="66"/>
      <c r="F237" s="190"/>
      <c r="G237" s="190" t="s">
        <v>45</v>
      </c>
      <c r="H237" s="67"/>
      <c r="I237" s="67"/>
      <c r="J237" s="67"/>
      <c r="K237" s="67"/>
      <c r="L237" s="65" t="str">
        <f>CONCATENATE(NETWORKDAYS(M237,N237,holiday!B$4:B$20),"일")</f>
        <v>7일</v>
      </c>
      <c r="M237" s="247">
        <f>MIN(M238,M248,M253)</f>
        <v>46143</v>
      </c>
      <c r="N237" s="247">
        <f>MAX(N238,N248,N253)</f>
        <v>46154</v>
      </c>
      <c r="O237" s="113" t="s">
        <v>68</v>
      </c>
      <c r="P237" s="113" t="s">
        <v>68</v>
      </c>
      <c r="Q237" s="113" t="s">
        <v>243</v>
      </c>
      <c r="R237" s="69">
        <f>SUM(W238,W248,W253)</f>
        <v>0</v>
      </c>
      <c r="S237" s="247"/>
      <c r="T237" s="247"/>
      <c r="U237" s="69">
        <f>SUM(X238,X248,X253)</f>
        <v>0</v>
      </c>
      <c r="V237" s="236">
        <v>0.3</v>
      </c>
      <c r="W237" s="70">
        <f t="shared" si="57"/>
        <v>0</v>
      </c>
      <c r="X237" s="71">
        <f t="shared" si="62"/>
        <v>0</v>
      </c>
      <c r="Y237" s="72" t="str">
        <f>IF(N237-$S$5&lt;=0,0,CONCATENATE(NETWORKDAYS($S$5,N237,holiday!$B$4:$B$20)))</f>
        <v>24</v>
      </c>
      <c r="Z237" s="73">
        <f t="shared" si="63"/>
        <v>0</v>
      </c>
      <c r="AA237" s="101"/>
      <c r="AB237" s="172"/>
    </row>
    <row r="238" spans="1:28" s="202" customFormat="1" ht="30" customHeight="1" x14ac:dyDescent="0.3">
      <c r="A238" s="96"/>
      <c r="B238" s="40">
        <v>265</v>
      </c>
      <c r="C238" s="76" t="s">
        <v>329</v>
      </c>
      <c r="D238" s="83">
        <v>3</v>
      </c>
      <c r="E238" s="78"/>
      <c r="F238" s="177"/>
      <c r="G238" s="177"/>
      <c r="H238" s="233" t="s">
        <v>46</v>
      </c>
      <c r="I238" s="79"/>
      <c r="J238" s="79"/>
      <c r="K238" s="79"/>
      <c r="L238" s="77" t="str">
        <f>CONCATENATE(NETWORKDAYS(M238,N238,holiday!B$4:B$20),"일")</f>
        <v>7일</v>
      </c>
      <c r="M238" s="106">
        <f>MIN(M239,M242,M245)</f>
        <v>46143</v>
      </c>
      <c r="N238" s="106">
        <f>MAX(N239,N242,N245)</f>
        <v>46154</v>
      </c>
      <c r="O238" s="107" t="s">
        <v>68</v>
      </c>
      <c r="P238" s="248" t="s">
        <v>68</v>
      </c>
      <c r="Q238" s="107" t="s">
        <v>243</v>
      </c>
      <c r="R238" s="80">
        <f>SUM(W239,W242,W245)</f>
        <v>0</v>
      </c>
      <c r="S238" s="218"/>
      <c r="T238" s="244"/>
      <c r="U238" s="219">
        <f>SUM(X239,X242,X245)</f>
        <v>0</v>
      </c>
      <c r="V238" s="239">
        <v>0.4</v>
      </c>
      <c r="W238" s="81">
        <f t="shared" si="57"/>
        <v>0</v>
      </c>
      <c r="X238" s="82">
        <f t="shared" si="62"/>
        <v>0</v>
      </c>
      <c r="Y238" s="83" t="str">
        <f>IF(N238-$S$5&lt;=0,0,CONCATENATE(NETWORKDAYS($S$5,N238,holiday!$B$4:$B$20)))</f>
        <v>24</v>
      </c>
      <c r="Z238" s="84">
        <f t="shared" si="63"/>
        <v>0</v>
      </c>
      <c r="AA238" s="240"/>
      <c r="AB238" s="123"/>
    </row>
    <row r="239" spans="1:28" s="212" customFormat="1" ht="30" customHeight="1" x14ac:dyDescent="0.3">
      <c r="A239" s="96"/>
      <c r="B239" s="40">
        <v>266</v>
      </c>
      <c r="C239" s="76" t="s">
        <v>330</v>
      </c>
      <c r="D239" s="83">
        <v>4</v>
      </c>
      <c r="E239" s="78"/>
      <c r="F239" s="177"/>
      <c r="G239" s="177"/>
      <c r="H239" s="79"/>
      <c r="I239" s="79" t="s">
        <v>117</v>
      </c>
      <c r="J239" s="79"/>
      <c r="K239" s="79"/>
      <c r="L239" s="77" t="str">
        <f>CONCATENATE(NETWORKDAYS(M239,N239,holiday!B$4:B$20),"일")</f>
        <v>7일</v>
      </c>
      <c r="M239" s="106">
        <f>MIN(M240:M241)</f>
        <v>46143</v>
      </c>
      <c r="N239" s="106">
        <f>MAX(N240:N241)</f>
        <v>46154</v>
      </c>
      <c r="O239" s="107" t="s">
        <v>68</v>
      </c>
      <c r="P239" s="248" t="s">
        <v>68</v>
      </c>
      <c r="Q239" s="107" t="s">
        <v>243</v>
      </c>
      <c r="R239" s="80">
        <f>SUM(W240:W241)</f>
        <v>0</v>
      </c>
      <c r="S239" s="244"/>
      <c r="T239" s="244"/>
      <c r="U239" s="219">
        <f>SUM(X240:X241)</f>
        <v>0</v>
      </c>
      <c r="V239" s="239">
        <v>0.4</v>
      </c>
      <c r="W239" s="81">
        <f t="shared" si="57"/>
        <v>0</v>
      </c>
      <c r="X239" s="82">
        <f t="shared" si="62"/>
        <v>0</v>
      </c>
      <c r="Y239" s="83" t="str">
        <f>IF(N239-$S$5&lt;=0,0,CONCATENATE(NETWORKDAYS($S$5,N239,holiday!$B$4:$B$20)))</f>
        <v>24</v>
      </c>
      <c r="Z239" s="84">
        <f t="shared" si="63"/>
        <v>0</v>
      </c>
      <c r="AA239" s="240"/>
      <c r="AB239" s="228"/>
    </row>
    <row r="240" spans="1:28" s="212" customFormat="1" ht="30" customHeight="1" x14ac:dyDescent="0.3">
      <c r="A240" s="96"/>
      <c r="B240" s="40">
        <v>267</v>
      </c>
      <c r="C240" s="76" t="s">
        <v>331</v>
      </c>
      <c r="D240" s="83">
        <v>5</v>
      </c>
      <c r="E240" s="78"/>
      <c r="F240" s="177"/>
      <c r="G240" s="177"/>
      <c r="H240" s="79"/>
      <c r="I240" s="79"/>
      <c r="J240" s="79" t="s">
        <v>9</v>
      </c>
      <c r="K240" s="79"/>
      <c r="L240" s="77" t="str">
        <f>CONCATENATE(NETWORKDAYS(M240,N240,holiday!B$4:B$20),"일")</f>
        <v>2일</v>
      </c>
      <c r="M240" s="106">
        <v>46143</v>
      </c>
      <c r="N240" s="106">
        <v>46147</v>
      </c>
      <c r="O240" s="107" t="s">
        <v>68</v>
      </c>
      <c r="P240" s="248" t="s">
        <v>75</v>
      </c>
      <c r="Q240" s="107" t="s">
        <v>244</v>
      </c>
      <c r="R240" s="80">
        <f>IF(COUNTBLANK(M240:N240)&gt;0,0,1/NETWORKDAYS(M240,N240,holiday!B$4:B$20)*(IF($S$5&lt;=M240,0,NETWORKDAYS(M240,IF($S$5&gt;N240,N240,$S$5),holiday!B$4:B$20))))</f>
        <v>0</v>
      </c>
      <c r="S240" s="218"/>
      <c r="T240" s="218"/>
      <c r="U240" s="219">
        <v>0</v>
      </c>
      <c r="V240" s="99">
        <v>0.3</v>
      </c>
      <c r="W240" s="81">
        <f t="shared" si="57"/>
        <v>0</v>
      </c>
      <c r="X240" s="82">
        <f t="shared" si="62"/>
        <v>0</v>
      </c>
      <c r="Y240" s="83" t="str">
        <f>IF(N240-$S$5&lt;=0,0,CONCATENATE(NETWORKDAYS($S$5,N240,holiday!$B$4:$B$20)))</f>
        <v>19</v>
      </c>
      <c r="Z240" s="84">
        <f t="shared" si="63"/>
        <v>0</v>
      </c>
      <c r="AA240" s="85"/>
      <c r="AB240" s="228"/>
    </row>
    <row r="241" spans="1:28" s="212" customFormat="1" ht="30" customHeight="1" x14ac:dyDescent="0.3">
      <c r="A241" s="96"/>
      <c r="B241" s="40">
        <v>268</v>
      </c>
      <c r="C241" s="76" t="s">
        <v>332</v>
      </c>
      <c r="D241" s="83">
        <v>5</v>
      </c>
      <c r="E241" s="177"/>
      <c r="F241" s="177"/>
      <c r="G241" s="177"/>
      <c r="H241" s="79"/>
      <c r="I241" s="79"/>
      <c r="J241" s="79" t="s">
        <v>565</v>
      </c>
      <c r="K241" s="79"/>
      <c r="L241" s="77" t="str">
        <f>CONCATENATE(NETWORKDAYS(M241,N241,holiday!B$4:B$20),"일")</f>
        <v>4일</v>
      </c>
      <c r="M241" s="273">
        <v>46149</v>
      </c>
      <c r="N241" s="273">
        <v>46154</v>
      </c>
      <c r="O241" s="107" t="s">
        <v>68</v>
      </c>
      <c r="P241" s="248" t="s">
        <v>61</v>
      </c>
      <c r="Q241" s="107" t="s">
        <v>519</v>
      </c>
      <c r="R241" s="80">
        <f>IF(COUNTBLANK(M241:N241)&gt;0,0,1/NETWORKDAYS(M241,N241,holiday!B$4:B$20)*(IF($S$5&lt;=M241,0,NETWORKDAYS(M241,IF($S$5&gt;N241,N241,$S$5),holiday!B$4:B$20))))</f>
        <v>0</v>
      </c>
      <c r="S241" s="218"/>
      <c r="T241" s="218"/>
      <c r="U241" s="219">
        <v>0</v>
      </c>
      <c r="V241" s="99">
        <v>0.3</v>
      </c>
      <c r="W241" s="81">
        <f t="shared" si="57"/>
        <v>0</v>
      </c>
      <c r="X241" s="82">
        <f t="shared" si="62"/>
        <v>0</v>
      </c>
      <c r="Y241" s="83" t="str">
        <f>IF(N241-$S$5&lt;=0,0,CONCATENATE(NETWORKDAYS($S$5,N241,holiday!$B$4:$B$20)))</f>
        <v>24</v>
      </c>
      <c r="Z241" s="84">
        <f t="shared" si="63"/>
        <v>0</v>
      </c>
      <c r="AA241" s="85"/>
      <c r="AB241" s="228"/>
    </row>
    <row r="242" spans="1:28" s="212" customFormat="1" ht="30" customHeight="1" x14ac:dyDescent="0.3">
      <c r="A242" s="96"/>
      <c r="B242" s="40">
        <v>269</v>
      </c>
      <c r="C242" s="76" t="s">
        <v>333</v>
      </c>
      <c r="D242" s="83">
        <v>4</v>
      </c>
      <c r="E242" s="78"/>
      <c r="F242" s="177"/>
      <c r="G242" s="177"/>
      <c r="H242" s="79"/>
      <c r="I242" s="79" t="s">
        <v>123</v>
      </c>
      <c r="J242" s="79"/>
      <c r="K242" s="79"/>
      <c r="L242" s="77" t="str">
        <f>CONCATENATE(NETWORKDAYS(M242,N242,holiday!B$4:B$20),"일")</f>
        <v>7일</v>
      </c>
      <c r="M242" s="106">
        <f>MIN(M243:M244)</f>
        <v>46143</v>
      </c>
      <c r="N242" s="106">
        <f>MAX(N243:N244)</f>
        <v>46154</v>
      </c>
      <c r="O242" s="107" t="s">
        <v>68</v>
      </c>
      <c r="P242" s="248" t="s">
        <v>68</v>
      </c>
      <c r="Q242" s="107" t="s">
        <v>243</v>
      </c>
      <c r="R242" s="80">
        <f>SUM(W243:W244)</f>
        <v>0</v>
      </c>
      <c r="S242" s="244"/>
      <c r="T242" s="244"/>
      <c r="U242" s="219">
        <f>SUM(X243:X244)</f>
        <v>0</v>
      </c>
      <c r="V242" s="239">
        <v>0.3</v>
      </c>
      <c r="W242" s="81">
        <f t="shared" si="57"/>
        <v>0</v>
      </c>
      <c r="X242" s="82">
        <f t="shared" si="62"/>
        <v>0</v>
      </c>
      <c r="Y242" s="83" t="str">
        <f>IF(N242-$S$5&lt;=0,0,CONCATENATE(NETWORKDAYS($S$5,N242,holiday!$B$4:$B$20)))</f>
        <v>24</v>
      </c>
      <c r="Z242" s="84">
        <f t="shared" si="63"/>
        <v>0</v>
      </c>
      <c r="AA242" s="240"/>
      <c r="AB242" s="228"/>
    </row>
    <row r="243" spans="1:28" s="212" customFormat="1" ht="30" customHeight="1" x14ac:dyDescent="0.3">
      <c r="A243" s="96"/>
      <c r="B243" s="40">
        <v>270</v>
      </c>
      <c r="C243" s="76" t="s">
        <v>334</v>
      </c>
      <c r="D243" s="83">
        <v>5</v>
      </c>
      <c r="E243" s="78"/>
      <c r="F243" s="177"/>
      <c r="G243" s="177"/>
      <c r="H243" s="79"/>
      <c r="I243" s="79"/>
      <c r="J243" s="79" t="s">
        <v>9</v>
      </c>
      <c r="K243" s="79"/>
      <c r="L243" s="77" t="str">
        <f>CONCATENATE(NETWORKDAYS(M243,N243,holiday!B$4:B$20),"일")</f>
        <v>2일</v>
      </c>
      <c r="M243" s="106">
        <v>46143</v>
      </c>
      <c r="N243" s="106">
        <v>46147</v>
      </c>
      <c r="O243" s="107" t="s">
        <v>68</v>
      </c>
      <c r="P243" s="248" t="s">
        <v>75</v>
      </c>
      <c r="Q243" s="107" t="s">
        <v>244</v>
      </c>
      <c r="R243" s="80">
        <f>IF(COUNTBLANK(M243:N243)&gt;0,0,1/NETWORKDAYS(M243,N243,holiday!B$4:B$20)*(IF($S$5&lt;=M243,0,NETWORKDAYS(M243,IF($S$5&gt;N243,N243,$S$5),holiday!B$4:B$20))))</f>
        <v>0</v>
      </c>
      <c r="S243" s="218"/>
      <c r="T243" s="218"/>
      <c r="U243" s="219">
        <v>0</v>
      </c>
      <c r="V243" s="99">
        <v>0.3</v>
      </c>
      <c r="W243" s="81">
        <f t="shared" si="57"/>
        <v>0</v>
      </c>
      <c r="X243" s="82">
        <f t="shared" si="62"/>
        <v>0</v>
      </c>
      <c r="Y243" s="83" t="str">
        <f>IF(N243-$S$5&lt;=0,0,CONCATENATE(NETWORKDAYS($S$5,N243,holiday!$B$4:$B$20)))</f>
        <v>19</v>
      </c>
      <c r="Z243" s="84">
        <f t="shared" si="63"/>
        <v>0</v>
      </c>
      <c r="AA243" s="85"/>
      <c r="AB243" s="228"/>
    </row>
    <row r="244" spans="1:28" s="212" customFormat="1" ht="30" customHeight="1" x14ac:dyDescent="0.3">
      <c r="A244" s="96"/>
      <c r="B244" s="40">
        <v>271</v>
      </c>
      <c r="C244" s="76" t="s">
        <v>335</v>
      </c>
      <c r="D244" s="83">
        <v>5</v>
      </c>
      <c r="E244" s="177"/>
      <c r="F244" s="177"/>
      <c r="G244" s="177"/>
      <c r="H244" s="79"/>
      <c r="I244" s="79"/>
      <c r="J244" s="79" t="s">
        <v>565</v>
      </c>
      <c r="K244" s="79"/>
      <c r="L244" s="77" t="str">
        <f>CONCATENATE(NETWORKDAYS(M244,N244,holiday!B$4:B$20),"일")</f>
        <v>4일</v>
      </c>
      <c r="M244" s="273">
        <v>46149</v>
      </c>
      <c r="N244" s="273">
        <v>46154</v>
      </c>
      <c r="O244" s="107" t="s">
        <v>68</v>
      </c>
      <c r="P244" s="248" t="s">
        <v>61</v>
      </c>
      <c r="Q244" s="107" t="s">
        <v>519</v>
      </c>
      <c r="R244" s="80">
        <f>IF(COUNTBLANK(M244:N244)&gt;0,0,1/NETWORKDAYS(M244,N244,holiday!B$4:B$20)*(IF($S$5&lt;=M244,0,NETWORKDAYS(M244,IF($S$5&gt;N244,N244,$S$5),holiday!B$4:B$20))))</f>
        <v>0</v>
      </c>
      <c r="S244" s="218"/>
      <c r="T244" s="218"/>
      <c r="U244" s="219">
        <v>0</v>
      </c>
      <c r="V244" s="99">
        <v>0.3</v>
      </c>
      <c r="W244" s="81">
        <f t="shared" si="57"/>
        <v>0</v>
      </c>
      <c r="X244" s="82">
        <f t="shared" si="62"/>
        <v>0</v>
      </c>
      <c r="Y244" s="83" t="str">
        <f>IF(N244-$S$5&lt;=0,0,CONCATENATE(NETWORKDAYS($S$5,N244,holiday!$B$4:$B$20)))</f>
        <v>24</v>
      </c>
      <c r="Z244" s="84">
        <f t="shared" si="63"/>
        <v>0</v>
      </c>
      <c r="AA244" s="85"/>
      <c r="AB244" s="228"/>
    </row>
    <row r="245" spans="1:28" s="212" customFormat="1" ht="30" customHeight="1" x14ac:dyDescent="0.3">
      <c r="A245" s="96"/>
      <c r="B245" s="40">
        <v>272</v>
      </c>
      <c r="C245" s="76" t="s">
        <v>336</v>
      </c>
      <c r="D245" s="83">
        <v>4</v>
      </c>
      <c r="E245" s="78"/>
      <c r="F245" s="177"/>
      <c r="G245" s="177"/>
      <c r="H245" s="79"/>
      <c r="I245" s="79" t="s">
        <v>14</v>
      </c>
      <c r="J245" s="79"/>
      <c r="K245" s="79"/>
      <c r="L245" s="77" t="str">
        <f>CONCATENATE(NETWORKDAYS(M245,N245,holiday!B$4:B$20),"일")</f>
        <v>7일</v>
      </c>
      <c r="M245" s="106">
        <f>MIN(M246:M247)</f>
        <v>46143</v>
      </c>
      <c r="N245" s="106">
        <f>MAX(N246:N247)</f>
        <v>46154</v>
      </c>
      <c r="O245" s="107" t="s">
        <v>68</v>
      </c>
      <c r="P245" s="248" t="s">
        <v>68</v>
      </c>
      <c r="Q245" s="107" t="s">
        <v>243</v>
      </c>
      <c r="R245" s="80">
        <f>SUM(W246:W247)</f>
        <v>0</v>
      </c>
      <c r="S245" s="218"/>
      <c r="T245" s="218"/>
      <c r="U245" s="219">
        <f>SUM(X246:X247)</f>
        <v>0</v>
      </c>
      <c r="V245" s="239">
        <v>0.3</v>
      </c>
      <c r="W245" s="81">
        <f t="shared" si="57"/>
        <v>0</v>
      </c>
      <c r="X245" s="82">
        <f t="shared" si="62"/>
        <v>0</v>
      </c>
      <c r="Y245" s="83" t="str">
        <f>IF(N245-$S$5&lt;=0,0,CONCATENATE(NETWORKDAYS($S$5,N245,holiday!$B$4:$B$20)))</f>
        <v>24</v>
      </c>
      <c r="Z245" s="84">
        <f t="shared" si="63"/>
        <v>0</v>
      </c>
      <c r="AA245" s="240"/>
      <c r="AB245" s="228"/>
    </row>
    <row r="246" spans="1:28" s="212" customFormat="1" ht="30" customHeight="1" x14ac:dyDescent="0.3">
      <c r="A246" s="96"/>
      <c r="B246" s="40">
        <v>273</v>
      </c>
      <c r="C246" s="76" t="s">
        <v>337</v>
      </c>
      <c r="D246" s="83">
        <v>5</v>
      </c>
      <c r="E246" s="78"/>
      <c r="F246" s="177"/>
      <c r="G246" s="177"/>
      <c r="H246" s="79"/>
      <c r="I246" s="79"/>
      <c r="J246" s="79" t="s">
        <v>9</v>
      </c>
      <c r="K246" s="79"/>
      <c r="L246" s="77" t="str">
        <f>CONCATENATE(NETWORKDAYS(M246,N246,holiday!B$4:B$20),"일")</f>
        <v>2일</v>
      </c>
      <c r="M246" s="106">
        <v>46143</v>
      </c>
      <c r="N246" s="106">
        <v>46147</v>
      </c>
      <c r="O246" s="107" t="s">
        <v>68</v>
      </c>
      <c r="P246" s="248" t="s">
        <v>75</v>
      </c>
      <c r="Q246" s="107" t="s">
        <v>244</v>
      </c>
      <c r="R246" s="80">
        <f>IF(COUNTBLANK(M246:N246)&gt;0,0,1/NETWORKDAYS(M246,N246,holiday!B$4:B$20)*(IF($S$5&lt;=M246,0,NETWORKDAYS(M246,IF($S$5&gt;N246,N246,$S$5),holiday!B$4:B$20))))</f>
        <v>0</v>
      </c>
      <c r="S246" s="218"/>
      <c r="T246" s="218"/>
      <c r="U246" s="219">
        <v>0</v>
      </c>
      <c r="V246" s="99">
        <v>0.3</v>
      </c>
      <c r="W246" s="81">
        <f t="shared" si="57"/>
        <v>0</v>
      </c>
      <c r="X246" s="82">
        <f t="shared" si="62"/>
        <v>0</v>
      </c>
      <c r="Y246" s="83" t="str">
        <f>IF(N246-$S$5&lt;=0,0,CONCATENATE(NETWORKDAYS($S$5,N246,holiday!$B$4:$B$20)))</f>
        <v>19</v>
      </c>
      <c r="Z246" s="84">
        <f t="shared" si="63"/>
        <v>0</v>
      </c>
      <c r="AA246" s="85"/>
      <c r="AB246" s="228"/>
    </row>
    <row r="247" spans="1:28" s="212" customFormat="1" ht="30" customHeight="1" x14ac:dyDescent="0.3">
      <c r="A247" s="96"/>
      <c r="B247" s="40">
        <v>274</v>
      </c>
      <c r="C247" s="76" t="s">
        <v>338</v>
      </c>
      <c r="D247" s="83">
        <v>5</v>
      </c>
      <c r="E247" s="177"/>
      <c r="F247" s="177"/>
      <c r="G247" s="177"/>
      <c r="H247" s="79"/>
      <c r="I247" s="79"/>
      <c r="J247" s="79" t="s">
        <v>565</v>
      </c>
      <c r="K247" s="79"/>
      <c r="L247" s="77" t="str">
        <f>CONCATENATE(NETWORKDAYS(M247,N247,holiday!B$4:B$20),"일")</f>
        <v>4일</v>
      </c>
      <c r="M247" s="273">
        <v>46149</v>
      </c>
      <c r="N247" s="273">
        <v>46154</v>
      </c>
      <c r="O247" s="107" t="s">
        <v>68</v>
      </c>
      <c r="P247" s="248" t="s">
        <v>61</v>
      </c>
      <c r="Q247" s="107" t="s">
        <v>519</v>
      </c>
      <c r="R247" s="80">
        <f>IF(COUNTBLANK(M247:N247)&gt;0,0,1/NETWORKDAYS(M247,N247,holiday!B$4:B$20)*(IF($S$5&lt;=M247,0,NETWORKDAYS(M247,IF($S$5&gt;N247,N247,$S$5),holiday!B$4:B$20))))</f>
        <v>0</v>
      </c>
      <c r="S247" s="218"/>
      <c r="T247" s="218"/>
      <c r="U247" s="219">
        <v>0</v>
      </c>
      <c r="V247" s="99">
        <v>0.3</v>
      </c>
      <c r="W247" s="81">
        <f t="shared" si="57"/>
        <v>0</v>
      </c>
      <c r="X247" s="82">
        <f t="shared" si="62"/>
        <v>0</v>
      </c>
      <c r="Y247" s="83" t="str">
        <f>IF(N247-$S$5&lt;=0,0,CONCATENATE(NETWORKDAYS($S$5,N247,holiday!$B$4:$B$20)))</f>
        <v>24</v>
      </c>
      <c r="Z247" s="84">
        <f t="shared" si="63"/>
        <v>0</v>
      </c>
      <c r="AA247" s="85"/>
      <c r="AB247" s="228"/>
    </row>
    <row r="248" spans="1:28" s="202" customFormat="1" ht="30" customHeight="1" x14ac:dyDescent="0.3">
      <c r="A248" s="96"/>
      <c r="B248" s="40">
        <v>275</v>
      </c>
      <c r="C248" s="76" t="s">
        <v>339</v>
      </c>
      <c r="D248" s="83">
        <v>3</v>
      </c>
      <c r="E248" s="78"/>
      <c r="F248" s="177"/>
      <c r="G248" s="177"/>
      <c r="H248" s="233" t="s">
        <v>83</v>
      </c>
      <c r="I248" s="79"/>
      <c r="J248" s="79"/>
      <c r="K248" s="79"/>
      <c r="L248" s="77" t="str">
        <f>CONCATENATE(NETWORKDAYS(M248,N248,holiday!B$4:B$20),"일")</f>
        <v>2일</v>
      </c>
      <c r="M248" s="106">
        <f>MIN(M249,M250,M251,M252)</f>
        <v>46143</v>
      </c>
      <c r="N248" s="106">
        <f>MAX(N249,N250,N251,N252)</f>
        <v>46147</v>
      </c>
      <c r="O248" s="107" t="s">
        <v>68</v>
      </c>
      <c r="P248" s="248" t="s">
        <v>68</v>
      </c>
      <c r="Q248" s="107" t="s">
        <v>243</v>
      </c>
      <c r="R248" s="80">
        <f>SUM(W249:W252)</f>
        <v>0</v>
      </c>
      <c r="S248" s="244"/>
      <c r="T248" s="244"/>
      <c r="U248" s="219">
        <f>SUM(X249:X252)</f>
        <v>0</v>
      </c>
      <c r="V248" s="239">
        <v>0.3</v>
      </c>
      <c r="W248" s="81">
        <f t="shared" si="57"/>
        <v>0</v>
      </c>
      <c r="X248" s="82">
        <f t="shared" si="62"/>
        <v>0</v>
      </c>
      <c r="Y248" s="83" t="str">
        <f>IF(N248-$S$5&lt;=0,0,CONCATENATE(NETWORKDAYS($S$5,N248,holiday!$B$4:$B$20)))</f>
        <v>19</v>
      </c>
      <c r="Z248" s="84">
        <f t="shared" si="63"/>
        <v>0</v>
      </c>
      <c r="AA248" s="240"/>
      <c r="AB248" s="123"/>
    </row>
    <row r="249" spans="1:28" s="212" customFormat="1" ht="30" customHeight="1" x14ac:dyDescent="0.3">
      <c r="A249" s="96"/>
      <c r="B249" s="40">
        <v>276</v>
      </c>
      <c r="C249" s="76" t="s">
        <v>340</v>
      </c>
      <c r="D249" s="83">
        <v>4</v>
      </c>
      <c r="E249" s="78"/>
      <c r="F249" s="177"/>
      <c r="G249" s="177"/>
      <c r="H249" s="79"/>
      <c r="I249" s="79" t="s">
        <v>120</v>
      </c>
      <c r="J249" s="79"/>
      <c r="K249" s="79"/>
      <c r="L249" s="77" t="str">
        <f>CONCATENATE(NETWORKDAYS(M249,N249,holiday!B$4:B$20),"일")</f>
        <v>2일</v>
      </c>
      <c r="M249" s="106">
        <v>46143</v>
      </c>
      <c r="N249" s="106">
        <v>46147</v>
      </c>
      <c r="O249" s="107" t="s">
        <v>68</v>
      </c>
      <c r="P249" s="107" t="s">
        <v>68</v>
      </c>
      <c r="Q249" s="107" t="s">
        <v>243</v>
      </c>
      <c r="R249" s="80">
        <f>IF(COUNTBLANK(M249:N249)&gt;0,0,1/NETWORKDAYS(M249,N249,holiday!B$4:B$20)*(IF($S$5&lt;=M249,0,NETWORKDAYS(M249,IF($S$5&gt;N249,N249,$S$5),holiday!B$4:B$20))))</f>
        <v>0</v>
      </c>
      <c r="S249" s="244"/>
      <c r="T249" s="244"/>
      <c r="U249" s="219">
        <v>0</v>
      </c>
      <c r="V249" s="239">
        <v>0.25</v>
      </c>
      <c r="W249" s="81">
        <f t="shared" si="57"/>
        <v>0</v>
      </c>
      <c r="X249" s="82">
        <f t="shared" si="62"/>
        <v>0</v>
      </c>
      <c r="Y249" s="83" t="str">
        <f>IF(N249-$S$5&lt;=0,0,CONCATENATE(NETWORKDAYS($S$5,N249,holiday!$B$4:$B$20)))</f>
        <v>19</v>
      </c>
      <c r="Z249" s="84">
        <f t="shared" si="63"/>
        <v>0</v>
      </c>
      <c r="AA249" s="240"/>
      <c r="AB249" s="228"/>
    </row>
    <row r="250" spans="1:28" s="212" customFormat="1" ht="30" customHeight="1" x14ac:dyDescent="0.3">
      <c r="A250" s="96"/>
      <c r="B250" s="40">
        <v>277</v>
      </c>
      <c r="C250" s="76" t="s">
        <v>341</v>
      </c>
      <c r="D250" s="83">
        <v>4</v>
      </c>
      <c r="E250" s="78"/>
      <c r="F250" s="177"/>
      <c r="G250" s="177"/>
      <c r="H250" s="79"/>
      <c r="I250" s="79" t="s">
        <v>113</v>
      </c>
      <c r="J250" s="79"/>
      <c r="K250" s="79"/>
      <c r="L250" s="77" t="str">
        <f>CONCATENATE(NETWORKDAYS(M250,N250,holiday!B$4:B$20),"일")</f>
        <v>2일</v>
      </c>
      <c r="M250" s="106">
        <v>46143</v>
      </c>
      <c r="N250" s="106">
        <v>46147</v>
      </c>
      <c r="O250" s="107" t="s">
        <v>68</v>
      </c>
      <c r="P250" s="107" t="s">
        <v>68</v>
      </c>
      <c r="Q250" s="107" t="s">
        <v>243</v>
      </c>
      <c r="R250" s="80">
        <f>IF(COUNTBLANK(M250:N250)&gt;0,0,1/NETWORKDAYS(M250,N250,holiday!B$4:B$20)*(IF($S$5&lt;=M250,0,NETWORKDAYS(M250,IF($S$5&gt;N250,N250,$S$5),holiday!B$4:B$20))))</f>
        <v>0</v>
      </c>
      <c r="S250" s="244"/>
      <c r="T250" s="244"/>
      <c r="U250" s="219">
        <v>0</v>
      </c>
      <c r="V250" s="239">
        <v>0.25</v>
      </c>
      <c r="W250" s="81">
        <f t="shared" si="57"/>
        <v>0</v>
      </c>
      <c r="X250" s="82">
        <f t="shared" si="62"/>
        <v>0</v>
      </c>
      <c r="Y250" s="83" t="str">
        <f>IF(N250-$S$5&lt;=0,0,CONCATENATE(NETWORKDAYS($S$5,N250,holiday!$B$4:$B$20)))</f>
        <v>19</v>
      </c>
      <c r="Z250" s="84">
        <f t="shared" si="63"/>
        <v>0</v>
      </c>
      <c r="AA250" s="240"/>
      <c r="AB250" s="228"/>
    </row>
    <row r="251" spans="1:28" s="212" customFormat="1" ht="30" customHeight="1" x14ac:dyDescent="0.3">
      <c r="A251" s="96"/>
      <c r="B251" s="40">
        <v>278</v>
      </c>
      <c r="C251" s="76" t="s">
        <v>342</v>
      </c>
      <c r="D251" s="83">
        <v>4</v>
      </c>
      <c r="E251" s="78"/>
      <c r="F251" s="177"/>
      <c r="G251" s="177"/>
      <c r="H251" s="79"/>
      <c r="I251" s="79" t="s">
        <v>119</v>
      </c>
      <c r="J251" s="79"/>
      <c r="K251" s="79"/>
      <c r="L251" s="77" t="str">
        <f>CONCATENATE(NETWORKDAYS(M251,N251,holiday!B$4:B$20),"일")</f>
        <v>2일</v>
      </c>
      <c r="M251" s="106">
        <v>46143</v>
      </c>
      <c r="N251" s="106">
        <v>46147</v>
      </c>
      <c r="O251" s="107" t="s">
        <v>68</v>
      </c>
      <c r="P251" s="107" t="s">
        <v>68</v>
      </c>
      <c r="Q251" s="107" t="s">
        <v>243</v>
      </c>
      <c r="R251" s="80">
        <f>IF(COUNTBLANK(M251:N251)&gt;0,0,1/NETWORKDAYS(M251,N251,holiday!B$4:B$20)*(IF($S$5&lt;=M251,0,NETWORKDAYS(M251,IF($S$5&gt;N251,N251,$S$5),holiday!B$4:B$20))))</f>
        <v>0</v>
      </c>
      <c r="S251" s="244"/>
      <c r="T251" s="244"/>
      <c r="U251" s="219">
        <v>0</v>
      </c>
      <c r="V251" s="239">
        <v>0.25</v>
      </c>
      <c r="W251" s="81">
        <f t="shared" si="57"/>
        <v>0</v>
      </c>
      <c r="X251" s="82">
        <f t="shared" si="62"/>
        <v>0</v>
      </c>
      <c r="Y251" s="83" t="str">
        <f>IF(N251-$S$5&lt;=0,0,CONCATENATE(NETWORKDAYS($S$5,N251,holiday!$B$4:$B$20)))</f>
        <v>19</v>
      </c>
      <c r="Z251" s="84">
        <f t="shared" si="63"/>
        <v>0</v>
      </c>
      <c r="AA251" s="240"/>
      <c r="AB251" s="228"/>
    </row>
    <row r="252" spans="1:28" s="212" customFormat="1" ht="30" customHeight="1" x14ac:dyDescent="0.3">
      <c r="A252" s="96"/>
      <c r="B252" s="40">
        <v>279</v>
      </c>
      <c r="C252" s="76" t="s">
        <v>343</v>
      </c>
      <c r="D252" s="83">
        <v>4</v>
      </c>
      <c r="E252" s="78"/>
      <c r="F252" s="177"/>
      <c r="G252" s="177"/>
      <c r="H252" s="79"/>
      <c r="I252" s="79" t="s">
        <v>121</v>
      </c>
      <c r="J252" s="79"/>
      <c r="K252" s="79"/>
      <c r="L252" s="77" t="str">
        <f>CONCATENATE(NETWORKDAYS(M252,N252,holiday!B$4:B$20),"일")</f>
        <v>2일</v>
      </c>
      <c r="M252" s="106">
        <v>46143</v>
      </c>
      <c r="N252" s="106">
        <v>46147</v>
      </c>
      <c r="O252" s="107" t="s">
        <v>68</v>
      </c>
      <c r="P252" s="107" t="s">
        <v>68</v>
      </c>
      <c r="Q252" s="107" t="s">
        <v>243</v>
      </c>
      <c r="R252" s="80">
        <f>IF(COUNTBLANK(M252:N252)&gt;0,0,1/NETWORKDAYS(M252,N252,holiday!B$4:B$20)*(IF($S$5&lt;=M252,0,NETWORKDAYS(M252,IF($S$5&gt;N252,N252,$S$5),holiday!B$4:B$20))))</f>
        <v>0</v>
      </c>
      <c r="S252" s="244"/>
      <c r="T252" s="244"/>
      <c r="U252" s="219">
        <v>0</v>
      </c>
      <c r="V252" s="239">
        <v>0.25</v>
      </c>
      <c r="W252" s="81">
        <f t="shared" si="57"/>
        <v>0</v>
      </c>
      <c r="X252" s="82">
        <f t="shared" si="62"/>
        <v>0</v>
      </c>
      <c r="Y252" s="83" t="str">
        <f>IF(N252-$S$5&lt;=0,0,CONCATENATE(NETWORKDAYS($S$5,N252,holiday!$B$4:$B$20)))</f>
        <v>19</v>
      </c>
      <c r="Z252" s="84">
        <f t="shared" si="63"/>
        <v>0</v>
      </c>
      <c r="AA252" s="240"/>
      <c r="AB252" s="228"/>
    </row>
    <row r="253" spans="1:28" s="202" customFormat="1" ht="30" customHeight="1" x14ac:dyDescent="0.3">
      <c r="A253" s="96"/>
      <c r="B253" s="40">
        <v>280</v>
      </c>
      <c r="C253" s="76" t="s">
        <v>344</v>
      </c>
      <c r="D253" s="83">
        <v>3</v>
      </c>
      <c r="E253" s="78"/>
      <c r="F253" s="177"/>
      <c r="G253" s="177"/>
      <c r="H253" s="233" t="s">
        <v>57</v>
      </c>
      <c r="I253" s="79"/>
      <c r="J253" s="79"/>
      <c r="K253" s="79"/>
      <c r="L253" s="77" t="str">
        <f>CONCATENATE(NETWORKDAYS(M253,N253,holiday!B$4:B$20),"일")</f>
        <v>7일</v>
      </c>
      <c r="M253" s="106">
        <f>MIN(M254:M256)</f>
        <v>46143</v>
      </c>
      <c r="N253" s="106">
        <f>MAX(N254:N256)</f>
        <v>46154</v>
      </c>
      <c r="O253" s="107" t="s">
        <v>68</v>
      </c>
      <c r="P253" s="248" t="s">
        <v>75</v>
      </c>
      <c r="Q253" s="107" t="s">
        <v>244</v>
      </c>
      <c r="R253" s="80">
        <f>SUM(W254:W256)</f>
        <v>0</v>
      </c>
      <c r="S253" s="244"/>
      <c r="T253" s="244"/>
      <c r="U253" s="219">
        <f>SUM(X254:X256)</f>
        <v>0</v>
      </c>
      <c r="V253" s="239">
        <v>0.3</v>
      </c>
      <c r="W253" s="81">
        <f t="shared" si="57"/>
        <v>0</v>
      </c>
      <c r="X253" s="82">
        <f t="shared" si="62"/>
        <v>0</v>
      </c>
      <c r="Y253" s="83" t="str">
        <f>IF(N253-$S$5&lt;=0,0,CONCATENATE(NETWORKDAYS($S$5,N253,holiday!$B$4:$B$20)))</f>
        <v>24</v>
      </c>
      <c r="Z253" s="84">
        <f t="shared" si="63"/>
        <v>0</v>
      </c>
      <c r="AA253" s="240"/>
      <c r="AB253" s="123"/>
    </row>
    <row r="254" spans="1:28" s="202" customFormat="1" ht="30" customHeight="1" x14ac:dyDescent="0.3">
      <c r="A254" s="96"/>
      <c r="B254" s="40">
        <v>281</v>
      </c>
      <c r="C254" s="76" t="s">
        <v>345</v>
      </c>
      <c r="D254" s="83">
        <v>5</v>
      </c>
      <c r="E254" s="78"/>
      <c r="F254" s="177"/>
      <c r="G254" s="177"/>
      <c r="H254" s="79"/>
      <c r="I254" s="79" t="s">
        <v>114</v>
      </c>
      <c r="J254" s="79"/>
      <c r="K254" s="79"/>
      <c r="L254" s="77" t="str">
        <f>CONCATENATE(NETWORKDAYS(M254,N254,holiday!B$4:B$20),"일")</f>
        <v>1일</v>
      </c>
      <c r="M254" s="106">
        <v>46143</v>
      </c>
      <c r="N254" s="106">
        <v>46145</v>
      </c>
      <c r="O254" s="107" t="s">
        <v>68</v>
      </c>
      <c r="P254" s="248" t="s">
        <v>183</v>
      </c>
      <c r="Q254" s="107" t="s">
        <v>414</v>
      </c>
      <c r="R254" s="80">
        <f>IF(COUNTBLANK(M254:N254)&gt;0,0,1/NETWORKDAYS(M254,N254,holiday!B$4:B$20)*(IF($S$5&lt;=M254,0,NETWORKDAYS(M254,IF($S$5&gt;N254,N254,$S$5),holiday!B$4:B$20))))</f>
        <v>0</v>
      </c>
      <c r="S254" s="218"/>
      <c r="T254" s="218"/>
      <c r="U254" s="219">
        <v>0</v>
      </c>
      <c r="V254" s="99">
        <v>0.4</v>
      </c>
      <c r="W254" s="81">
        <f t="shared" si="57"/>
        <v>0</v>
      </c>
      <c r="X254" s="82">
        <f t="shared" si="62"/>
        <v>0</v>
      </c>
      <c r="Y254" s="83" t="str">
        <f>IF(N254-$S$5&lt;=0,0,CONCATENATE(NETWORKDAYS($S$5,N254,holiday!$B$4:$B$20)))</f>
        <v>18</v>
      </c>
      <c r="Z254" s="84">
        <f t="shared" si="63"/>
        <v>0</v>
      </c>
      <c r="AA254" s="85"/>
      <c r="AB254" s="123"/>
    </row>
    <row r="255" spans="1:28" s="202" customFormat="1" ht="30" customHeight="1" x14ac:dyDescent="0.3">
      <c r="A255" s="96"/>
      <c r="B255" s="40">
        <v>282</v>
      </c>
      <c r="C255" s="76" t="s">
        <v>346</v>
      </c>
      <c r="D255" s="83">
        <v>5</v>
      </c>
      <c r="E255" s="78"/>
      <c r="F255" s="177"/>
      <c r="G255" s="177"/>
      <c r="H255" s="79"/>
      <c r="I255" s="79" t="s">
        <v>9</v>
      </c>
      <c r="J255" s="79"/>
      <c r="K255" s="79"/>
      <c r="L255" s="77" t="str">
        <f>CONCATENATE(NETWORKDAYS(M255,N255,holiday!B$4:B$20),"일")</f>
        <v>1일</v>
      </c>
      <c r="M255" s="106">
        <v>46143</v>
      </c>
      <c r="N255" s="106">
        <v>46145</v>
      </c>
      <c r="O255" s="107" t="s">
        <v>68</v>
      </c>
      <c r="P255" s="248" t="s">
        <v>75</v>
      </c>
      <c r="Q255" s="107" t="s">
        <v>244</v>
      </c>
      <c r="R255" s="80">
        <f>IF(COUNTBLANK(M255:N255)&gt;0,0,1/NETWORKDAYS(M255,N255,holiday!B$4:B$20)*(IF($S$5&lt;=M255,0,NETWORKDAYS(M255,IF($S$5&gt;N255,N255,$S$5),holiday!B$4:B$20))))</f>
        <v>0</v>
      </c>
      <c r="S255" s="218"/>
      <c r="T255" s="218"/>
      <c r="U255" s="219">
        <v>0</v>
      </c>
      <c r="V255" s="99">
        <v>0.3</v>
      </c>
      <c r="W255" s="81">
        <f t="shared" si="57"/>
        <v>0</v>
      </c>
      <c r="X255" s="82">
        <f t="shared" si="62"/>
        <v>0</v>
      </c>
      <c r="Y255" s="83" t="str">
        <f>IF(N255-$S$5&lt;=0,0,CONCATENATE(NETWORKDAYS($S$5,N255,holiday!$B$4:$B$20)))</f>
        <v>18</v>
      </c>
      <c r="Z255" s="84">
        <f t="shared" si="63"/>
        <v>0</v>
      </c>
      <c r="AA255" s="85"/>
      <c r="AB255" s="123"/>
    </row>
    <row r="256" spans="1:28" s="202" customFormat="1" ht="30" customHeight="1" x14ac:dyDescent="0.3">
      <c r="A256" s="96"/>
      <c r="B256" s="40">
        <v>283</v>
      </c>
      <c r="C256" s="76" t="s">
        <v>347</v>
      </c>
      <c r="D256" s="83">
        <v>5</v>
      </c>
      <c r="E256" s="177"/>
      <c r="F256" s="177"/>
      <c r="G256" s="177"/>
      <c r="H256" s="79"/>
      <c r="I256" s="79" t="s">
        <v>565</v>
      </c>
      <c r="J256" s="79"/>
      <c r="K256" s="79"/>
      <c r="L256" s="77" t="str">
        <f>CONCATENATE(NETWORKDAYS(M256,N256,holiday!B$4:B$20),"일")</f>
        <v>4일</v>
      </c>
      <c r="M256" s="273">
        <v>46149</v>
      </c>
      <c r="N256" s="273">
        <v>46154</v>
      </c>
      <c r="O256" s="107" t="s">
        <v>68</v>
      </c>
      <c r="P256" s="248" t="s">
        <v>61</v>
      </c>
      <c r="Q256" s="107" t="s">
        <v>519</v>
      </c>
      <c r="R256" s="80">
        <f>IF(COUNTBLANK(M256:N256)&gt;0,0,1/NETWORKDAYS(M256,N256,holiday!B$4:B$20)*(IF($S$5&lt;=M256,0,NETWORKDAYS(M256,IF($S$5&gt;N256,N256,$S$5),holiday!B$4:B$20))))</f>
        <v>0</v>
      </c>
      <c r="S256" s="218"/>
      <c r="T256" s="218"/>
      <c r="U256" s="219">
        <v>0</v>
      </c>
      <c r="V256" s="99">
        <v>0.3</v>
      </c>
      <c r="W256" s="81">
        <f t="shared" si="57"/>
        <v>0</v>
      </c>
      <c r="X256" s="82">
        <f t="shared" si="62"/>
        <v>0</v>
      </c>
      <c r="Y256" s="83" t="str">
        <f>IF(N256-$S$5&lt;=0,0,CONCATENATE(NETWORKDAYS($S$5,N256,holiday!$B$4:$B$20)))</f>
        <v>24</v>
      </c>
      <c r="Z256" s="84">
        <f t="shared" si="63"/>
        <v>0</v>
      </c>
      <c r="AA256" s="85"/>
      <c r="AB256" s="123"/>
    </row>
    <row r="257" spans="1:30" s="93" customFormat="1" ht="30" customHeight="1" x14ac:dyDescent="0.3">
      <c r="B257" s="40">
        <v>284</v>
      </c>
      <c r="C257" s="64" t="s">
        <v>135</v>
      </c>
      <c r="D257" s="72">
        <v>2</v>
      </c>
      <c r="E257" s="66"/>
      <c r="F257" s="190"/>
      <c r="G257" s="190" t="s">
        <v>50</v>
      </c>
      <c r="H257" s="67"/>
      <c r="I257" s="67"/>
      <c r="J257" s="67"/>
      <c r="K257" s="67"/>
      <c r="L257" s="65" t="str">
        <f>CONCATENATE(NETWORKDAYS(M257,N257,holiday!B$4:B$20),"일")</f>
        <v>1일</v>
      </c>
      <c r="M257" s="112">
        <f>MIN(M258)</f>
        <v>46160</v>
      </c>
      <c r="N257" s="112">
        <f>MAX(N258)</f>
        <v>46160</v>
      </c>
      <c r="O257" s="113" t="s">
        <v>68</v>
      </c>
      <c r="P257" s="113" t="s">
        <v>68</v>
      </c>
      <c r="Q257" s="113" t="s">
        <v>243</v>
      </c>
      <c r="R257" s="69">
        <f>SUM(W258)</f>
        <v>0</v>
      </c>
      <c r="S257" s="247"/>
      <c r="T257" s="247"/>
      <c r="U257" s="69">
        <f>SUM(X258)</f>
        <v>0</v>
      </c>
      <c r="V257" s="236">
        <v>0.3</v>
      </c>
      <c r="W257" s="70">
        <f t="shared" si="57"/>
        <v>0</v>
      </c>
      <c r="X257" s="71">
        <f t="shared" si="62"/>
        <v>0</v>
      </c>
      <c r="Y257" s="72" t="str">
        <f>IF(N257-$S$5&lt;=0,0,CONCATENATE(NETWORKDAYS($S$5,N257,holiday!$B$4:$B$20)))</f>
        <v>28</v>
      </c>
      <c r="Z257" s="73">
        <f t="shared" si="63"/>
        <v>0</v>
      </c>
      <c r="AA257" s="101"/>
      <c r="AB257" s="124"/>
    </row>
    <row r="258" spans="1:30" ht="30" customHeight="1" x14ac:dyDescent="0.3">
      <c r="A258" s="96"/>
      <c r="B258" s="40">
        <v>285</v>
      </c>
      <c r="C258" s="252" t="s">
        <v>348</v>
      </c>
      <c r="D258" s="185">
        <v>3</v>
      </c>
      <c r="E258" s="254"/>
      <c r="F258" s="177"/>
      <c r="G258" s="177"/>
      <c r="H258" s="271" t="s">
        <v>115</v>
      </c>
      <c r="I258" s="255"/>
      <c r="J258" s="255"/>
      <c r="K258" s="255"/>
      <c r="L258" s="253" t="str">
        <f>CONCATENATE(NETWORKDAYS(M258,N258,holiday!B$4:B$20),"일")</f>
        <v>1일</v>
      </c>
      <c r="M258" s="106">
        <f>MIN(M259,M260,M261)</f>
        <v>46160</v>
      </c>
      <c r="N258" s="106">
        <f>MAX(N259,N260,N261)</f>
        <v>46160</v>
      </c>
      <c r="O258" s="107" t="s">
        <v>68</v>
      </c>
      <c r="P258" s="248" t="s">
        <v>415</v>
      </c>
      <c r="Q258" s="107" t="s">
        <v>243</v>
      </c>
      <c r="R258" s="80">
        <f>SUM(W259:W261)</f>
        <v>0</v>
      </c>
      <c r="S258" s="218"/>
      <c r="T258" s="218"/>
      <c r="U258" s="256">
        <f>SUM(X259:X261)</f>
        <v>0</v>
      </c>
      <c r="V258" s="195">
        <v>1</v>
      </c>
      <c r="W258" s="257">
        <f t="shared" si="57"/>
        <v>0</v>
      </c>
      <c r="X258" s="184">
        <f t="shared" si="62"/>
        <v>0</v>
      </c>
      <c r="Y258" s="185" t="str">
        <f>IF(N258-$S$5&lt;=0,0,CONCATENATE(NETWORKDAYS($S$5,N258,holiday!$B$4:$B$20)))</f>
        <v>28</v>
      </c>
      <c r="Z258" s="186">
        <f t="shared" si="63"/>
        <v>0</v>
      </c>
      <c r="AA258" s="225"/>
      <c r="AB258" s="192"/>
      <c r="AC258" s="205"/>
      <c r="AD258" s="205"/>
    </row>
    <row r="259" spans="1:30" s="202" customFormat="1" ht="30" customHeight="1" x14ac:dyDescent="0.3">
      <c r="A259" s="96"/>
      <c r="B259" s="40">
        <v>286</v>
      </c>
      <c r="C259" s="76" t="s">
        <v>349</v>
      </c>
      <c r="D259" s="83">
        <v>4</v>
      </c>
      <c r="E259" s="78"/>
      <c r="F259" s="177"/>
      <c r="G259" s="177"/>
      <c r="H259" s="79"/>
      <c r="I259" s="79" t="s">
        <v>114</v>
      </c>
      <c r="J259" s="79"/>
      <c r="K259" s="79"/>
      <c r="L259" s="77" t="str">
        <f>CONCATENATE(NETWORKDAYS(M259,N259,holiday!B$4:B$20),"일")</f>
        <v>1일</v>
      </c>
      <c r="M259" s="106">
        <v>46160</v>
      </c>
      <c r="N259" s="106">
        <v>46160</v>
      </c>
      <c r="O259" s="107" t="s">
        <v>68</v>
      </c>
      <c r="P259" s="248" t="s">
        <v>183</v>
      </c>
      <c r="Q259" s="107" t="s">
        <v>414</v>
      </c>
      <c r="R259" s="80">
        <f>IF(COUNTBLANK(M259:N259)&gt;0,0,1/NETWORKDAYS(M259,N259,holiday!B$4:B$20)*(IF($S$5&lt;=M259,0,NETWORKDAYS(M259,IF($S$5&gt;N259,N259,$S$5),holiday!B$4:B$20))))</f>
        <v>0</v>
      </c>
      <c r="S259" s="218"/>
      <c r="T259" s="218"/>
      <c r="U259" s="219">
        <v>0</v>
      </c>
      <c r="V259" s="99">
        <v>0.4</v>
      </c>
      <c r="W259" s="81">
        <f t="shared" si="57"/>
        <v>0</v>
      </c>
      <c r="X259" s="82">
        <f t="shared" si="62"/>
        <v>0</v>
      </c>
      <c r="Y259" s="83" t="str">
        <f>IF(N259-$S$5&lt;=0,0,CONCATENATE(NETWORKDAYS($S$5,N259,holiday!$B$4:$B$20)))</f>
        <v>28</v>
      </c>
      <c r="Z259" s="84">
        <f t="shared" si="63"/>
        <v>0</v>
      </c>
      <c r="AA259" s="85"/>
      <c r="AB259" s="123"/>
    </row>
    <row r="260" spans="1:30" s="202" customFormat="1" ht="30" customHeight="1" x14ac:dyDescent="0.3">
      <c r="A260" s="96"/>
      <c r="B260" s="40">
        <v>287</v>
      </c>
      <c r="C260" s="76" t="s">
        <v>111</v>
      </c>
      <c r="D260" s="83">
        <v>4</v>
      </c>
      <c r="E260" s="78"/>
      <c r="F260" s="177"/>
      <c r="G260" s="177"/>
      <c r="H260" s="79"/>
      <c r="I260" s="79" t="s">
        <v>9</v>
      </c>
      <c r="J260" s="79"/>
      <c r="K260" s="79"/>
      <c r="L260" s="77" t="str">
        <f>CONCATENATE(NETWORKDAYS(M260,N260,holiday!B$4:B$20),"일")</f>
        <v>1일</v>
      </c>
      <c r="M260" s="106">
        <v>46160</v>
      </c>
      <c r="N260" s="106">
        <v>46160</v>
      </c>
      <c r="O260" s="107" t="s">
        <v>68</v>
      </c>
      <c r="P260" s="248" t="s">
        <v>75</v>
      </c>
      <c r="Q260" s="107" t="s">
        <v>244</v>
      </c>
      <c r="R260" s="80">
        <f>IF(COUNTBLANK(M260:N260)&gt;0,0,1/NETWORKDAYS(M260,N260,holiday!B$4:B$20)*(IF($S$5&lt;=M260,0,NETWORKDAYS(M260,IF($S$5&gt;N260,N260,$S$5),holiday!B$4:B$20))))</f>
        <v>0</v>
      </c>
      <c r="S260" s="218"/>
      <c r="T260" s="218"/>
      <c r="U260" s="219">
        <v>0</v>
      </c>
      <c r="V260" s="99">
        <v>0.3</v>
      </c>
      <c r="W260" s="81">
        <f t="shared" si="57"/>
        <v>0</v>
      </c>
      <c r="X260" s="82">
        <f t="shared" si="62"/>
        <v>0</v>
      </c>
      <c r="Y260" s="83" t="str">
        <f>IF(N260-$S$5&lt;=0,0,CONCATENATE(NETWORKDAYS($S$5,N260,holiday!$B$4:$B$20)))</f>
        <v>28</v>
      </c>
      <c r="Z260" s="84">
        <f t="shared" si="63"/>
        <v>0</v>
      </c>
      <c r="AA260" s="85"/>
      <c r="AB260" s="123"/>
    </row>
    <row r="261" spans="1:30" s="202" customFormat="1" ht="30" customHeight="1" x14ac:dyDescent="0.3">
      <c r="A261" s="96"/>
      <c r="B261" s="40">
        <v>288</v>
      </c>
      <c r="C261" s="76" t="s">
        <v>102</v>
      </c>
      <c r="D261" s="83">
        <v>4</v>
      </c>
      <c r="E261" s="78"/>
      <c r="F261" s="177"/>
      <c r="G261" s="177"/>
      <c r="H261" s="79"/>
      <c r="I261" s="79" t="s">
        <v>565</v>
      </c>
      <c r="J261" s="79"/>
      <c r="K261" s="79"/>
      <c r="L261" s="77" t="str">
        <f>CONCATENATE(NETWORKDAYS(M261,N261,holiday!B$4:B$20),"일")</f>
        <v>1일</v>
      </c>
      <c r="M261" s="106">
        <v>46160</v>
      </c>
      <c r="N261" s="106">
        <v>46160</v>
      </c>
      <c r="O261" s="107" t="s">
        <v>68</v>
      </c>
      <c r="P261" s="248" t="s">
        <v>61</v>
      </c>
      <c r="Q261" s="107" t="s">
        <v>526</v>
      </c>
      <c r="R261" s="80">
        <f>IF(COUNTBLANK(M261:N261)&gt;0,0,1/NETWORKDAYS(M261,N261,holiday!B$4:B$20)*(IF($S$5&lt;=M261,0,NETWORKDAYS(M261,IF($S$5&gt;N261,N261,$S$5),holiday!B$4:B$20))))</f>
        <v>0</v>
      </c>
      <c r="S261" s="218"/>
      <c r="T261" s="218"/>
      <c r="U261" s="219">
        <v>0</v>
      </c>
      <c r="V261" s="99">
        <v>0.3</v>
      </c>
      <c r="W261" s="81">
        <f t="shared" si="57"/>
        <v>0</v>
      </c>
      <c r="X261" s="82">
        <f t="shared" si="62"/>
        <v>0</v>
      </c>
      <c r="Y261" s="83" t="str">
        <f>IF(N261-$S$5&lt;=0,0,CONCATENATE(NETWORKDAYS($S$5,N261,holiday!$B$4:$B$20)))</f>
        <v>28</v>
      </c>
      <c r="Z261" s="84">
        <f t="shared" si="63"/>
        <v>0</v>
      </c>
      <c r="AA261" s="85"/>
      <c r="AB261" s="123"/>
    </row>
    <row r="262" spans="1:30" s="102" customFormat="1" ht="30" customHeight="1" x14ac:dyDescent="0.3">
      <c r="A262" s="53"/>
      <c r="B262" s="40">
        <v>289</v>
      </c>
      <c r="C262" s="199" t="s">
        <v>136</v>
      </c>
      <c r="D262" s="258">
        <v>1</v>
      </c>
      <c r="E262" s="200"/>
      <c r="F262" s="197" t="s">
        <v>39</v>
      </c>
      <c r="G262" s="197"/>
      <c r="H262" s="230"/>
      <c r="I262" s="230"/>
      <c r="J262" s="230"/>
      <c r="K262" s="259"/>
      <c r="L262" s="260" t="str">
        <f>CONCATENATE(NETWORKDAYS(M262,N262,holiday!B$4:B$20),"일")</f>
        <v>1일</v>
      </c>
      <c r="M262" s="198">
        <f>MIN(M263,M276,M281)</f>
        <v>46162</v>
      </c>
      <c r="N262" s="198">
        <f>MAX(N263,N276,N281)</f>
        <v>46162</v>
      </c>
      <c r="O262" s="196" t="s">
        <v>68</v>
      </c>
      <c r="P262" s="196" t="s">
        <v>68</v>
      </c>
      <c r="Q262" s="196" t="s">
        <v>243</v>
      </c>
      <c r="R262" s="89">
        <f>SUM(W263,W276,W281)</f>
        <v>0</v>
      </c>
      <c r="S262" s="188"/>
      <c r="T262" s="188"/>
      <c r="U262" s="89">
        <f>SUM(X263,X276,X281)</f>
        <v>0</v>
      </c>
      <c r="V262" s="90">
        <v>0.05</v>
      </c>
      <c r="W262" s="103">
        <f t="shared" si="57"/>
        <v>0</v>
      </c>
      <c r="X262" s="91">
        <f t="shared" si="62"/>
        <v>0</v>
      </c>
      <c r="Y262" s="88" t="str">
        <f>IF(N262-$S$5&lt;=0,0,CONCATENATE(NETWORKDAYS($S$5,N262,holiday!$B$4:$B$20)))</f>
        <v>30</v>
      </c>
      <c r="Z262" s="92">
        <f t="shared" si="63"/>
        <v>0</v>
      </c>
      <c r="AA262" s="243"/>
      <c r="AB262" s="125"/>
      <c r="AD262" s="203"/>
    </row>
    <row r="263" spans="1:30" s="93" customFormat="1" ht="30" customHeight="1" x14ac:dyDescent="0.3">
      <c r="B263" s="40">
        <v>290</v>
      </c>
      <c r="C263" s="64" t="s">
        <v>350</v>
      </c>
      <c r="D263" s="72">
        <v>2</v>
      </c>
      <c r="E263" s="66"/>
      <c r="F263" s="190"/>
      <c r="G263" s="190" t="s">
        <v>47</v>
      </c>
      <c r="H263" s="67"/>
      <c r="I263" s="67"/>
      <c r="J263" s="67"/>
      <c r="K263" s="67"/>
      <c r="L263" s="65" t="str">
        <f>CONCATENATE(NETWORKDAYS(M263,N263,holiday!B$4:B$20),"일")</f>
        <v>1일</v>
      </c>
      <c r="M263" s="247">
        <f>MIN(M264,M268,M272)</f>
        <v>46162</v>
      </c>
      <c r="N263" s="247">
        <f>MAX(N264,N268,N272)</f>
        <v>46162</v>
      </c>
      <c r="O263" s="113" t="s">
        <v>68</v>
      </c>
      <c r="P263" s="113" t="s">
        <v>68</v>
      </c>
      <c r="Q263" s="113" t="s">
        <v>243</v>
      </c>
      <c r="R263" s="69">
        <f>SUM(W264,W268,W272)</f>
        <v>0</v>
      </c>
      <c r="S263" s="247"/>
      <c r="T263" s="247"/>
      <c r="U263" s="69">
        <f>SUM(X264,X268,X272)</f>
        <v>0</v>
      </c>
      <c r="V263" s="100">
        <v>0.5</v>
      </c>
      <c r="W263" s="70">
        <f t="shared" si="57"/>
        <v>0</v>
      </c>
      <c r="X263" s="71">
        <f t="shared" si="62"/>
        <v>0</v>
      </c>
      <c r="Y263" s="72" t="str">
        <f>IF(N263-$S$5&lt;=0,0,CONCATENATE(NETWORKDAYS($S$5,N263,holiday!$B$4:$B$20)))</f>
        <v>30</v>
      </c>
      <c r="Z263" s="73">
        <f t="shared" si="63"/>
        <v>0</v>
      </c>
      <c r="AA263" s="74"/>
      <c r="AB263" s="124"/>
    </row>
    <row r="264" spans="1:30" s="102" customFormat="1" ht="30" customHeight="1" x14ac:dyDescent="0.3">
      <c r="A264" s="96"/>
      <c r="B264" s="40">
        <v>291</v>
      </c>
      <c r="C264" s="76" t="s">
        <v>351</v>
      </c>
      <c r="D264" s="83">
        <v>3</v>
      </c>
      <c r="E264" s="78"/>
      <c r="F264" s="177"/>
      <c r="G264" s="177"/>
      <c r="H264" s="233" t="s">
        <v>55</v>
      </c>
      <c r="I264" s="79"/>
      <c r="J264" s="79"/>
      <c r="K264" s="79"/>
      <c r="L264" s="77" t="str">
        <f>CONCATENATE(NETWORKDAYS(M264,N264,holiday!B$4:B$20),"일")</f>
        <v>1일</v>
      </c>
      <c r="M264" s="106">
        <f>MIN(M265,M266,M267)</f>
        <v>46162</v>
      </c>
      <c r="N264" s="106">
        <f>MAX(N265,N266,N267)</f>
        <v>46162</v>
      </c>
      <c r="O264" s="107" t="s">
        <v>68</v>
      </c>
      <c r="P264" s="107" t="s">
        <v>68</v>
      </c>
      <c r="Q264" s="250" t="s">
        <v>243</v>
      </c>
      <c r="R264" s="80">
        <f>SUM(W265:W267)</f>
        <v>0</v>
      </c>
      <c r="S264" s="218"/>
      <c r="T264" s="218"/>
      <c r="U264" s="219">
        <f>SUM(X265:X267)</f>
        <v>0</v>
      </c>
      <c r="V264" s="99">
        <v>0.4</v>
      </c>
      <c r="W264" s="81">
        <f t="shared" si="57"/>
        <v>0</v>
      </c>
      <c r="X264" s="82">
        <f t="shared" si="62"/>
        <v>0</v>
      </c>
      <c r="Y264" s="83" t="str">
        <f>IF(N264-$S$5&lt;=0,0,CONCATENATE(NETWORKDAYS($S$5,N264,holiday!$B$4:$B$20)))</f>
        <v>30</v>
      </c>
      <c r="Z264" s="84">
        <f t="shared" si="63"/>
        <v>0</v>
      </c>
      <c r="AA264" s="85"/>
      <c r="AB264" s="125"/>
    </row>
    <row r="265" spans="1:30" s="203" customFormat="1" ht="30" customHeight="1" x14ac:dyDescent="0.3">
      <c r="A265" s="96"/>
      <c r="B265" s="40">
        <v>292</v>
      </c>
      <c r="C265" s="76" t="s">
        <v>352</v>
      </c>
      <c r="D265" s="83">
        <v>4</v>
      </c>
      <c r="E265" s="78"/>
      <c r="F265" s="177"/>
      <c r="G265" s="177"/>
      <c r="H265" s="79"/>
      <c r="I265" s="79" t="s">
        <v>88</v>
      </c>
      <c r="J265" s="79"/>
      <c r="K265" s="79"/>
      <c r="L265" s="77" t="str">
        <f>CONCATENATE(NETWORKDAYS(M265,N265,holiday!B$4:B$20),"일")</f>
        <v>1일</v>
      </c>
      <c r="M265" s="106">
        <v>46162</v>
      </c>
      <c r="N265" s="106">
        <v>46162</v>
      </c>
      <c r="O265" s="107" t="s">
        <v>68</v>
      </c>
      <c r="P265" s="248" t="s">
        <v>183</v>
      </c>
      <c r="Q265" s="107" t="s">
        <v>414</v>
      </c>
      <c r="R265" s="80">
        <f>IF(COUNTBLANK(M265:N265)&gt;0,0,1/NETWORKDAYS(M265,N265,holiday!B$4:B$20)*(IF($S$5&lt;=M265,0,NETWORKDAYS(M265,IF($S$5&gt;N265,N265,$S$5),holiday!B$4:B$20))))</f>
        <v>0</v>
      </c>
      <c r="S265" s="218"/>
      <c r="T265" s="218"/>
      <c r="U265" s="219">
        <v>0</v>
      </c>
      <c r="V265" s="99">
        <v>0.4</v>
      </c>
      <c r="W265" s="81">
        <f t="shared" si="57"/>
        <v>0</v>
      </c>
      <c r="X265" s="82">
        <f t="shared" si="62"/>
        <v>0</v>
      </c>
      <c r="Y265" s="83" t="str">
        <f>IF(N265-$S$5&lt;=0,0,CONCATENATE(NETWORKDAYS($S$5,N265,holiday!$B$4:$B$20)))</f>
        <v>30</v>
      </c>
      <c r="Z265" s="84">
        <f t="shared" si="63"/>
        <v>0</v>
      </c>
      <c r="AA265" s="85"/>
      <c r="AB265" s="241"/>
    </row>
    <row r="266" spans="1:30" s="203" customFormat="1" ht="30" customHeight="1" x14ac:dyDescent="0.3">
      <c r="A266" s="96"/>
      <c r="B266" s="40">
        <v>293</v>
      </c>
      <c r="C266" s="76" t="s">
        <v>353</v>
      </c>
      <c r="D266" s="83">
        <v>4</v>
      </c>
      <c r="E266" s="78"/>
      <c r="F266" s="177"/>
      <c r="G266" s="177"/>
      <c r="H266" s="79"/>
      <c r="I266" s="79" t="s">
        <v>13</v>
      </c>
      <c r="J266" s="79"/>
      <c r="K266" s="79"/>
      <c r="L266" s="77" t="str">
        <f>CONCATENATE(NETWORKDAYS(M266,N266,holiday!B$4:B$20),"일")</f>
        <v>1일</v>
      </c>
      <c r="M266" s="273">
        <v>46162</v>
      </c>
      <c r="N266" s="273">
        <v>46162</v>
      </c>
      <c r="O266" s="107" t="s">
        <v>68</v>
      </c>
      <c r="P266" s="248" t="s">
        <v>75</v>
      </c>
      <c r="Q266" s="107" t="s">
        <v>244</v>
      </c>
      <c r="R266" s="80">
        <f>IF(COUNTBLANK(M266:N266)&gt;0,0,1/NETWORKDAYS(M266,N266,holiday!B$4:B$20)*(IF($S$5&lt;=M266,0,NETWORKDAYS(M266,IF($S$5&gt;N266,N266,$S$5),holiday!B$4:B$20))))</f>
        <v>0</v>
      </c>
      <c r="S266" s="218"/>
      <c r="T266" s="218"/>
      <c r="U266" s="219">
        <v>0</v>
      </c>
      <c r="V266" s="99">
        <v>0.3</v>
      </c>
      <c r="W266" s="81">
        <f t="shared" si="57"/>
        <v>0</v>
      </c>
      <c r="X266" s="82">
        <f t="shared" si="62"/>
        <v>0</v>
      </c>
      <c r="Y266" s="83" t="str">
        <f>IF(N266-$S$5&lt;=0,0,CONCATENATE(NETWORKDAYS($S$5,N266,holiday!$B$4:$B$20)))</f>
        <v>30</v>
      </c>
      <c r="Z266" s="84">
        <f t="shared" si="63"/>
        <v>0</v>
      </c>
      <c r="AA266" s="85"/>
      <c r="AB266" s="241"/>
    </row>
    <row r="267" spans="1:30" s="203" customFormat="1" ht="30" customHeight="1" x14ac:dyDescent="0.3">
      <c r="A267" s="96"/>
      <c r="B267" s="40">
        <v>294</v>
      </c>
      <c r="C267" s="76" t="s">
        <v>354</v>
      </c>
      <c r="D267" s="83">
        <v>4</v>
      </c>
      <c r="E267" s="177"/>
      <c r="F267" s="177"/>
      <c r="G267" s="177"/>
      <c r="H267" s="79"/>
      <c r="I267" s="79" t="s">
        <v>564</v>
      </c>
      <c r="J267" s="79"/>
      <c r="K267" s="79"/>
      <c r="L267" s="77" t="str">
        <f>CONCATENATE(NETWORKDAYS(M267,N267,holiday!B$4:B$20),"일")</f>
        <v>1일</v>
      </c>
      <c r="M267" s="273">
        <v>46162</v>
      </c>
      <c r="N267" s="273">
        <v>46162</v>
      </c>
      <c r="O267" s="107" t="s">
        <v>68</v>
      </c>
      <c r="P267" s="248" t="s">
        <v>61</v>
      </c>
      <c r="Q267" s="107" t="s">
        <v>519</v>
      </c>
      <c r="R267" s="80">
        <f>IF(COUNTBLANK(M267:N267)&gt;0,0,1/NETWORKDAYS(M267,N267,holiday!B$4:B$20)*(IF($S$5&lt;=M267,0,NETWORKDAYS(M267,IF($S$5&gt;N267,N267,$S$5),holiday!B$4:B$20))))</f>
        <v>0</v>
      </c>
      <c r="S267" s="218"/>
      <c r="T267" s="218"/>
      <c r="U267" s="219">
        <v>0</v>
      </c>
      <c r="V267" s="99">
        <v>0.3</v>
      </c>
      <c r="W267" s="81">
        <f t="shared" si="57"/>
        <v>0</v>
      </c>
      <c r="X267" s="82">
        <f t="shared" si="62"/>
        <v>0</v>
      </c>
      <c r="Y267" s="83" t="str">
        <f>IF(N267-$S$5&lt;=0,0,CONCATENATE(NETWORKDAYS($S$5,N267,holiday!$B$4:$B$20)))</f>
        <v>30</v>
      </c>
      <c r="Z267" s="84">
        <f t="shared" si="63"/>
        <v>0</v>
      </c>
      <c r="AA267" s="85"/>
      <c r="AB267" s="241"/>
    </row>
    <row r="268" spans="1:30" s="102" customFormat="1" ht="30" customHeight="1" x14ac:dyDescent="0.3">
      <c r="A268" s="96"/>
      <c r="B268" s="40">
        <v>295</v>
      </c>
      <c r="C268" s="76" t="s">
        <v>355</v>
      </c>
      <c r="D268" s="83">
        <v>3</v>
      </c>
      <c r="E268" s="78"/>
      <c r="F268" s="177"/>
      <c r="G268" s="177"/>
      <c r="H268" s="271" t="s">
        <v>89</v>
      </c>
      <c r="I268" s="79"/>
      <c r="J268" s="79"/>
      <c r="K268" s="79"/>
      <c r="L268" s="77" t="str">
        <f>CONCATENATE(NETWORKDAYS(M268,N268,holiday!B$4:B$20),"일")</f>
        <v>1일</v>
      </c>
      <c r="M268" s="106">
        <f>MIN(M269,M270,M271)</f>
        <v>46162</v>
      </c>
      <c r="N268" s="106">
        <f>MAX(N269,N270,N271)</f>
        <v>46162</v>
      </c>
      <c r="O268" s="107" t="s">
        <v>68</v>
      </c>
      <c r="P268" s="107" t="s">
        <v>68</v>
      </c>
      <c r="Q268" s="250" t="s">
        <v>243</v>
      </c>
      <c r="R268" s="80">
        <f>SUM(W269:W271)</f>
        <v>0</v>
      </c>
      <c r="S268" s="218"/>
      <c r="T268" s="218"/>
      <c r="U268" s="219">
        <f>SUM(X269:X271)</f>
        <v>0</v>
      </c>
      <c r="V268" s="99">
        <v>0.3</v>
      </c>
      <c r="W268" s="81">
        <f t="shared" si="57"/>
        <v>0</v>
      </c>
      <c r="X268" s="82">
        <f t="shared" si="62"/>
        <v>0</v>
      </c>
      <c r="Y268" s="83" t="str">
        <f>IF(N268-$S$5&lt;=0,0,CONCATENATE(NETWORKDAYS($S$5,N268,holiday!$B$4:$B$20)))</f>
        <v>30</v>
      </c>
      <c r="Z268" s="84">
        <f t="shared" si="63"/>
        <v>0</v>
      </c>
      <c r="AA268" s="85"/>
      <c r="AB268" s="125"/>
    </row>
    <row r="269" spans="1:30" s="203" customFormat="1" ht="30" customHeight="1" x14ac:dyDescent="0.3">
      <c r="A269" s="96" t="s">
        <v>199</v>
      </c>
      <c r="B269" s="40">
        <v>296</v>
      </c>
      <c r="C269" s="76" t="s">
        <v>356</v>
      </c>
      <c r="D269" s="83">
        <v>4</v>
      </c>
      <c r="E269" s="78"/>
      <c r="F269" s="177"/>
      <c r="G269" s="177"/>
      <c r="H269" s="255"/>
      <c r="I269" s="79" t="s">
        <v>88</v>
      </c>
      <c r="J269" s="79"/>
      <c r="K269" s="79"/>
      <c r="L269" s="77" t="str">
        <f>CONCATENATE(NETWORKDAYS(M269,N269,holiday!B$4:B$20),"일")</f>
        <v>1일</v>
      </c>
      <c r="M269" s="106">
        <v>46162</v>
      </c>
      <c r="N269" s="106">
        <v>46162</v>
      </c>
      <c r="O269" s="107" t="s">
        <v>68</v>
      </c>
      <c r="P269" s="248" t="s">
        <v>183</v>
      </c>
      <c r="Q269" s="107" t="s">
        <v>414</v>
      </c>
      <c r="R269" s="80">
        <f>IF(COUNTBLANK(M269:N269)&gt;0,0,1/NETWORKDAYS(M269,N269,holiday!B$4:B$20)*(IF($S$5&lt;=M269,0,NETWORKDAYS(M269,IF($S$5&gt;N269,N269,$S$5),holiday!B$4:B$20))))</f>
        <v>0</v>
      </c>
      <c r="S269" s="218"/>
      <c r="T269" s="218"/>
      <c r="U269" s="219">
        <v>0</v>
      </c>
      <c r="V269" s="99">
        <v>0.4</v>
      </c>
      <c r="W269" s="81">
        <f t="shared" si="57"/>
        <v>0</v>
      </c>
      <c r="X269" s="82">
        <f t="shared" si="62"/>
        <v>0</v>
      </c>
      <c r="Y269" s="83" t="str">
        <f>IF(N269-$S$5&lt;=0,0,CONCATENATE(NETWORKDAYS($S$5,N269,holiday!$B$4:$B$20)))</f>
        <v>30</v>
      </c>
      <c r="Z269" s="84">
        <f t="shared" si="63"/>
        <v>0</v>
      </c>
      <c r="AA269" s="85"/>
      <c r="AB269" s="241"/>
    </row>
    <row r="270" spans="1:30" s="203" customFormat="1" ht="30" customHeight="1" x14ac:dyDescent="0.3">
      <c r="A270" s="96"/>
      <c r="B270" s="40">
        <v>297</v>
      </c>
      <c r="C270" s="76" t="s">
        <v>357</v>
      </c>
      <c r="D270" s="83">
        <v>4</v>
      </c>
      <c r="E270" s="78"/>
      <c r="F270" s="177"/>
      <c r="G270" s="177"/>
      <c r="H270" s="255"/>
      <c r="I270" s="79" t="s">
        <v>13</v>
      </c>
      <c r="J270" s="79"/>
      <c r="K270" s="79"/>
      <c r="L270" s="77" t="str">
        <f>CONCATENATE(NETWORKDAYS(M270,N270,holiday!B$4:B$20),"일")</f>
        <v>1일</v>
      </c>
      <c r="M270" s="273">
        <v>46162</v>
      </c>
      <c r="N270" s="273">
        <v>46162</v>
      </c>
      <c r="O270" s="107" t="s">
        <v>68</v>
      </c>
      <c r="P270" s="248" t="s">
        <v>75</v>
      </c>
      <c r="Q270" s="107" t="s">
        <v>244</v>
      </c>
      <c r="R270" s="80">
        <f>IF(COUNTBLANK(M270:N270)&gt;0,0,1/NETWORKDAYS(M270,N270,holiday!B$4:B$20)*(IF($S$5&lt;=M270,0,NETWORKDAYS(M270,IF($S$5&gt;N270,N270,$S$5),holiday!B$4:B$20))))</f>
        <v>0</v>
      </c>
      <c r="S270" s="218"/>
      <c r="T270" s="218"/>
      <c r="U270" s="219">
        <v>0</v>
      </c>
      <c r="V270" s="99">
        <v>0.3</v>
      </c>
      <c r="W270" s="81">
        <f t="shared" si="57"/>
        <v>0</v>
      </c>
      <c r="X270" s="82">
        <f t="shared" si="62"/>
        <v>0</v>
      </c>
      <c r="Y270" s="83" t="str">
        <f>IF(N270-$S$5&lt;=0,0,CONCATENATE(NETWORKDAYS($S$5,N270,holiday!$B$4:$B$20)))</f>
        <v>30</v>
      </c>
      <c r="Z270" s="84">
        <f t="shared" si="63"/>
        <v>0</v>
      </c>
      <c r="AA270" s="85"/>
      <c r="AB270" s="241"/>
    </row>
    <row r="271" spans="1:30" s="203" customFormat="1" ht="30" customHeight="1" x14ac:dyDescent="0.3">
      <c r="A271" s="96"/>
      <c r="B271" s="40">
        <v>298</v>
      </c>
      <c r="C271" s="76" t="s">
        <v>358</v>
      </c>
      <c r="D271" s="83">
        <v>4</v>
      </c>
      <c r="E271" s="177"/>
      <c r="F271" s="177"/>
      <c r="G271" s="177"/>
      <c r="H271" s="79"/>
      <c r="I271" s="79" t="s">
        <v>564</v>
      </c>
      <c r="J271" s="79"/>
      <c r="K271" s="79"/>
      <c r="L271" s="77" t="str">
        <f>CONCATENATE(NETWORKDAYS(M271,N271,holiday!B$4:B$20),"일")</f>
        <v>1일</v>
      </c>
      <c r="M271" s="273">
        <v>46162</v>
      </c>
      <c r="N271" s="273">
        <v>46162</v>
      </c>
      <c r="O271" s="107" t="s">
        <v>68</v>
      </c>
      <c r="P271" s="248" t="s">
        <v>61</v>
      </c>
      <c r="Q271" s="107" t="s">
        <v>413</v>
      </c>
      <c r="R271" s="80">
        <f>IF(COUNTBLANK(M271:N271)&gt;0,0,1/NETWORKDAYS(M271,N271,holiday!B$4:B$20)*(IF($S$5&lt;=M271,0,NETWORKDAYS(M271,IF($S$5&gt;N271,N271,$S$5),holiday!B$4:B$20))))</f>
        <v>0</v>
      </c>
      <c r="S271" s="218"/>
      <c r="T271" s="218"/>
      <c r="U271" s="219">
        <v>0</v>
      </c>
      <c r="V271" s="99">
        <v>0.3</v>
      </c>
      <c r="W271" s="81">
        <f t="shared" si="57"/>
        <v>0</v>
      </c>
      <c r="X271" s="82">
        <f t="shared" si="62"/>
        <v>0</v>
      </c>
      <c r="Y271" s="83" t="str">
        <f>IF(N271-$S$5&lt;=0,0,CONCATENATE(NETWORKDAYS($S$5,N271,holiday!$B$4:$B$20)))</f>
        <v>30</v>
      </c>
      <c r="Z271" s="84">
        <f t="shared" si="63"/>
        <v>0</v>
      </c>
      <c r="AA271" s="85"/>
      <c r="AB271" s="241"/>
    </row>
    <row r="272" spans="1:30" s="102" customFormat="1" ht="30" customHeight="1" x14ac:dyDescent="0.3">
      <c r="A272" s="96"/>
      <c r="B272" s="40">
        <v>299</v>
      </c>
      <c r="C272" s="76" t="s">
        <v>359</v>
      </c>
      <c r="D272" s="83">
        <v>3</v>
      </c>
      <c r="E272" s="78"/>
      <c r="F272" s="177"/>
      <c r="G272" s="177"/>
      <c r="H272" s="271" t="s">
        <v>48</v>
      </c>
      <c r="I272" s="79"/>
      <c r="J272" s="79"/>
      <c r="K272" s="79"/>
      <c r="L272" s="77" t="str">
        <f>CONCATENATE(NETWORKDAYS(M272,N272,holiday!B$4:B$20),"일")</f>
        <v>1일</v>
      </c>
      <c r="M272" s="106">
        <f>MIN(M273,M274,M275)</f>
        <v>46162</v>
      </c>
      <c r="N272" s="106">
        <f>MAX(N273,N274,N275)</f>
        <v>46162</v>
      </c>
      <c r="O272" s="107" t="s">
        <v>68</v>
      </c>
      <c r="P272" s="107" t="s">
        <v>68</v>
      </c>
      <c r="Q272" s="250" t="s">
        <v>243</v>
      </c>
      <c r="R272" s="80">
        <f>SUM(W273:W275)</f>
        <v>0</v>
      </c>
      <c r="S272" s="218"/>
      <c r="T272" s="218"/>
      <c r="U272" s="219">
        <f>SUM(X273:X275)</f>
        <v>0</v>
      </c>
      <c r="V272" s="99">
        <v>0.3</v>
      </c>
      <c r="W272" s="81">
        <f t="shared" si="57"/>
        <v>0</v>
      </c>
      <c r="X272" s="82">
        <f t="shared" si="62"/>
        <v>0</v>
      </c>
      <c r="Y272" s="83" t="str">
        <f>IF(N272-$S$5&lt;=0,0,CONCATENATE(NETWORKDAYS($S$5,N272,holiday!$B$4:$B$20)))</f>
        <v>30</v>
      </c>
      <c r="Z272" s="84">
        <f t="shared" si="63"/>
        <v>0</v>
      </c>
      <c r="AA272" s="85"/>
      <c r="AB272" s="125"/>
    </row>
    <row r="273" spans="1:30" s="203" customFormat="1" ht="30" customHeight="1" x14ac:dyDescent="0.3">
      <c r="A273" s="96"/>
      <c r="B273" s="40">
        <v>300</v>
      </c>
      <c r="C273" s="76" t="s">
        <v>360</v>
      </c>
      <c r="D273" s="83">
        <v>4</v>
      </c>
      <c r="E273" s="78"/>
      <c r="F273" s="177"/>
      <c r="G273" s="177"/>
      <c r="H273" s="255"/>
      <c r="I273" s="79" t="s">
        <v>88</v>
      </c>
      <c r="J273" s="79"/>
      <c r="K273" s="79"/>
      <c r="L273" s="77" t="str">
        <f>CONCATENATE(NETWORKDAYS(M273,N273,holiday!B$4:B$20),"일")</f>
        <v>1일</v>
      </c>
      <c r="M273" s="106">
        <v>46162</v>
      </c>
      <c r="N273" s="106">
        <v>46162</v>
      </c>
      <c r="O273" s="107" t="s">
        <v>68</v>
      </c>
      <c r="P273" s="248" t="s">
        <v>183</v>
      </c>
      <c r="Q273" s="107" t="s">
        <v>414</v>
      </c>
      <c r="R273" s="80">
        <f>IF(COUNTBLANK(M273:N273)&gt;0,0,1/NETWORKDAYS(M273,N273,holiday!B$4:B$20)*(IF($S$5&lt;=M273,0,NETWORKDAYS(M273,IF($S$5&gt;N273,N273,$S$5),holiday!B$4:B$20))))</f>
        <v>0</v>
      </c>
      <c r="S273" s="218"/>
      <c r="T273" s="218"/>
      <c r="U273" s="219">
        <v>0</v>
      </c>
      <c r="V273" s="99">
        <v>0.4</v>
      </c>
      <c r="W273" s="81">
        <f t="shared" si="57"/>
        <v>0</v>
      </c>
      <c r="X273" s="82">
        <f t="shared" si="62"/>
        <v>0</v>
      </c>
      <c r="Y273" s="83" t="str">
        <f>IF(N273-$S$5&lt;=0,0,CONCATENATE(NETWORKDAYS($S$5,N273,holiday!$B$4:$B$20)))</f>
        <v>30</v>
      </c>
      <c r="Z273" s="84">
        <f t="shared" si="63"/>
        <v>0</v>
      </c>
      <c r="AA273" s="85"/>
      <c r="AB273" s="241"/>
    </row>
    <row r="274" spans="1:30" s="203" customFormat="1" ht="30" customHeight="1" x14ac:dyDescent="0.3">
      <c r="A274" s="96"/>
      <c r="B274" s="40">
        <v>301</v>
      </c>
      <c r="C274" s="76" t="s">
        <v>361</v>
      </c>
      <c r="D274" s="83">
        <v>4</v>
      </c>
      <c r="E274" s="78"/>
      <c r="F274" s="177"/>
      <c r="G274" s="177"/>
      <c r="H274" s="255"/>
      <c r="I274" s="79" t="s">
        <v>13</v>
      </c>
      <c r="J274" s="79"/>
      <c r="K274" s="79"/>
      <c r="L274" s="77" t="str">
        <f>CONCATENATE(NETWORKDAYS(M274,N274,holiday!B$4:B$20),"일")</f>
        <v>1일</v>
      </c>
      <c r="M274" s="273">
        <v>46162</v>
      </c>
      <c r="N274" s="273">
        <v>46162</v>
      </c>
      <c r="O274" s="107" t="s">
        <v>68</v>
      </c>
      <c r="P274" s="248" t="s">
        <v>75</v>
      </c>
      <c r="Q274" s="107" t="s">
        <v>244</v>
      </c>
      <c r="R274" s="80">
        <f>IF(COUNTBLANK(M274:N274)&gt;0,0,1/NETWORKDAYS(M274,N274,holiday!B$4:B$20)*(IF($S$5&lt;=M274,0,NETWORKDAYS(M274,IF($S$5&gt;N274,N274,$S$5),holiday!B$4:B$20))))</f>
        <v>0</v>
      </c>
      <c r="S274" s="218"/>
      <c r="T274" s="218"/>
      <c r="U274" s="219">
        <v>0</v>
      </c>
      <c r="V274" s="99">
        <v>0.3</v>
      </c>
      <c r="W274" s="81">
        <f t="shared" si="57"/>
        <v>0</v>
      </c>
      <c r="X274" s="82">
        <f t="shared" si="62"/>
        <v>0</v>
      </c>
      <c r="Y274" s="83" t="str">
        <f>IF(N274-$S$5&lt;=0,0,CONCATENATE(NETWORKDAYS($S$5,N274,holiday!$B$4:$B$20)))</f>
        <v>30</v>
      </c>
      <c r="Z274" s="84">
        <f t="shared" si="63"/>
        <v>0</v>
      </c>
      <c r="AA274" s="85"/>
      <c r="AB274" s="241"/>
    </row>
    <row r="275" spans="1:30" s="203" customFormat="1" ht="30" customHeight="1" x14ac:dyDescent="0.3">
      <c r="A275" s="96"/>
      <c r="B275" s="40">
        <v>302</v>
      </c>
      <c r="C275" s="76" t="s">
        <v>362</v>
      </c>
      <c r="D275" s="83">
        <v>4</v>
      </c>
      <c r="E275" s="177"/>
      <c r="F275" s="177"/>
      <c r="G275" s="177"/>
      <c r="H275" s="79"/>
      <c r="I275" s="79" t="s">
        <v>564</v>
      </c>
      <c r="J275" s="79"/>
      <c r="K275" s="79"/>
      <c r="L275" s="77" t="str">
        <f>CONCATENATE(NETWORKDAYS(M275,N275,holiday!B$4:B$20),"일")</f>
        <v>1일</v>
      </c>
      <c r="M275" s="273">
        <v>46162</v>
      </c>
      <c r="N275" s="273">
        <v>46162</v>
      </c>
      <c r="O275" s="107" t="s">
        <v>68</v>
      </c>
      <c r="P275" s="248" t="s">
        <v>61</v>
      </c>
      <c r="Q275" s="107" t="s">
        <v>413</v>
      </c>
      <c r="R275" s="80">
        <f>IF(COUNTBLANK(M275:N275)&gt;0,0,1/NETWORKDAYS(M275,N275,holiday!B$4:B$20)*(IF($S$5&lt;=M275,0,NETWORKDAYS(M275,IF($S$5&gt;N275,N275,$S$5),holiday!B$4:B$20))))</f>
        <v>0</v>
      </c>
      <c r="S275" s="218"/>
      <c r="T275" s="218"/>
      <c r="U275" s="219">
        <v>0</v>
      </c>
      <c r="V275" s="99">
        <v>0.3</v>
      </c>
      <c r="W275" s="81">
        <f t="shared" si="57"/>
        <v>0</v>
      </c>
      <c r="X275" s="82">
        <f t="shared" si="62"/>
        <v>0</v>
      </c>
      <c r="Y275" s="83" t="str">
        <f>IF(N275-$S$5&lt;=0,0,CONCATENATE(NETWORKDAYS($S$5,N275,holiday!$B$4:$B$20)))</f>
        <v>30</v>
      </c>
      <c r="Z275" s="84">
        <f t="shared" si="63"/>
        <v>0</v>
      </c>
      <c r="AA275" s="85"/>
      <c r="AB275" s="241"/>
    </row>
    <row r="276" spans="1:30" s="102" customFormat="1" ht="30" customHeight="1" x14ac:dyDescent="0.3">
      <c r="A276" s="93"/>
      <c r="B276" s="40">
        <v>303</v>
      </c>
      <c r="C276" s="64" t="s">
        <v>134</v>
      </c>
      <c r="D276" s="72">
        <v>2</v>
      </c>
      <c r="E276" s="66"/>
      <c r="F276" s="190"/>
      <c r="G276" s="190" t="s">
        <v>132</v>
      </c>
      <c r="H276" s="67"/>
      <c r="I276" s="67"/>
      <c r="J276" s="67"/>
      <c r="K276" s="67"/>
      <c r="L276" s="65" t="str">
        <f>CONCATENATE(NETWORKDAYS(M276,N276,holiday!B$4:B$20),"일")</f>
        <v>1일</v>
      </c>
      <c r="M276" s="112">
        <f>MIN(M277)</f>
        <v>46162</v>
      </c>
      <c r="N276" s="112">
        <f>MAX(N277)</f>
        <v>46162</v>
      </c>
      <c r="O276" s="113" t="s">
        <v>68</v>
      </c>
      <c r="P276" s="245" t="s">
        <v>68</v>
      </c>
      <c r="Q276" s="247" t="s">
        <v>243</v>
      </c>
      <c r="R276" s="69">
        <f>SUM(W277)</f>
        <v>0</v>
      </c>
      <c r="S276" s="112"/>
      <c r="T276" s="112"/>
      <c r="U276" s="69">
        <f>SUM(X277)</f>
        <v>0</v>
      </c>
      <c r="V276" s="100">
        <v>0.25</v>
      </c>
      <c r="W276" s="70">
        <f t="shared" si="57"/>
        <v>0</v>
      </c>
      <c r="X276" s="71">
        <f t="shared" si="62"/>
        <v>0</v>
      </c>
      <c r="Y276" s="72" t="str">
        <f>IF(N276-$S$5&lt;=0,0,CONCATENATE(NETWORKDAYS($S$5,N276,holiday!$B$4:$B$20)))</f>
        <v>30</v>
      </c>
      <c r="Z276" s="73">
        <f t="shared" si="63"/>
        <v>0</v>
      </c>
      <c r="AA276" s="74"/>
      <c r="AB276" s="173"/>
    </row>
    <row r="277" spans="1:30" s="102" customFormat="1" ht="30" customHeight="1" x14ac:dyDescent="0.3">
      <c r="A277" s="96"/>
      <c r="B277" s="40">
        <v>304</v>
      </c>
      <c r="C277" s="252" t="s">
        <v>363</v>
      </c>
      <c r="D277" s="185">
        <v>3</v>
      </c>
      <c r="E277" s="254"/>
      <c r="F277" s="177"/>
      <c r="G277" s="177"/>
      <c r="H277" s="235" t="s">
        <v>116</v>
      </c>
      <c r="I277" s="255"/>
      <c r="J277" s="255"/>
      <c r="K277" s="255"/>
      <c r="L277" s="253" t="str">
        <f>CONCATENATE(NETWORKDAYS(M277,N277,holiday!B$4:B$20),"일")</f>
        <v>1일</v>
      </c>
      <c r="M277" s="106">
        <f>MIN(M278,M279,M280)</f>
        <v>46162</v>
      </c>
      <c r="N277" s="106">
        <f>MAX(N278,N279,N280)</f>
        <v>46162</v>
      </c>
      <c r="O277" s="107" t="s">
        <v>68</v>
      </c>
      <c r="P277" s="107" t="s">
        <v>415</v>
      </c>
      <c r="Q277" s="107" t="s">
        <v>243</v>
      </c>
      <c r="R277" s="262">
        <f>SUM(W278:W280)</f>
        <v>0</v>
      </c>
      <c r="S277" s="244"/>
      <c r="T277" s="244"/>
      <c r="U277" s="256">
        <f>SUM(X278:X280)</f>
        <v>0</v>
      </c>
      <c r="V277" s="261">
        <v>1</v>
      </c>
      <c r="W277" s="257">
        <f t="shared" si="57"/>
        <v>0</v>
      </c>
      <c r="X277" s="184">
        <f t="shared" si="62"/>
        <v>0</v>
      </c>
      <c r="Y277" s="185" t="str">
        <f>IF(N277-$S$5&lt;=0,0,CONCATENATE(NETWORKDAYS($S$5,N277,holiday!$B$4:$B$20)))</f>
        <v>30</v>
      </c>
      <c r="Z277" s="186">
        <f t="shared" si="63"/>
        <v>0</v>
      </c>
      <c r="AA277" s="263"/>
      <c r="AB277" s="194"/>
      <c r="AC277" s="204"/>
      <c r="AD277" s="204"/>
    </row>
    <row r="278" spans="1:30" s="202" customFormat="1" ht="30" customHeight="1" x14ac:dyDescent="0.3">
      <c r="A278" s="96"/>
      <c r="B278" s="40">
        <v>305</v>
      </c>
      <c r="C278" s="76" t="s">
        <v>364</v>
      </c>
      <c r="D278" s="185">
        <v>4</v>
      </c>
      <c r="E278" s="78"/>
      <c r="F278" s="177"/>
      <c r="G278" s="177"/>
      <c r="H278" s="79"/>
      <c r="I278" s="79" t="s">
        <v>10</v>
      </c>
      <c r="J278" s="79"/>
      <c r="K278" s="79"/>
      <c r="L278" s="77" t="str">
        <f>CONCATENATE(NETWORKDAYS(M278,N278,holiday!B$4:B$20),"일")</f>
        <v>1일</v>
      </c>
      <c r="M278" s="106">
        <v>46162</v>
      </c>
      <c r="N278" s="106">
        <v>46162</v>
      </c>
      <c r="O278" s="107" t="s">
        <v>68</v>
      </c>
      <c r="P278" s="248" t="s">
        <v>183</v>
      </c>
      <c r="Q278" s="107" t="s">
        <v>414</v>
      </c>
      <c r="R278" s="80">
        <f>IF(COUNTBLANK(M278:N278)&gt;0,0,1/NETWORKDAYS(M278,N278,holiday!B$4:B$20)*(IF($S$5&lt;=M278,0,NETWORKDAYS(M278,IF($S$5&gt;N278,N278,$S$5),holiday!B$4:B$20))))</f>
        <v>0</v>
      </c>
      <c r="S278" s="218"/>
      <c r="T278" s="218"/>
      <c r="U278" s="219">
        <v>0</v>
      </c>
      <c r="V278" s="99">
        <v>0.4</v>
      </c>
      <c r="W278" s="81">
        <f t="shared" si="57"/>
        <v>0</v>
      </c>
      <c r="X278" s="82">
        <f t="shared" si="62"/>
        <v>0</v>
      </c>
      <c r="Y278" s="83" t="str">
        <f>IF(N278-$S$5&lt;=0,0,CONCATENATE(NETWORKDAYS($S$5,N278,holiday!$B$4:$B$20)))</f>
        <v>30</v>
      </c>
      <c r="Z278" s="84">
        <f t="shared" si="63"/>
        <v>0</v>
      </c>
      <c r="AA278" s="85"/>
      <c r="AB278" s="123"/>
    </row>
    <row r="279" spans="1:30" s="202" customFormat="1" ht="30" customHeight="1" x14ac:dyDescent="0.3">
      <c r="A279" s="96"/>
      <c r="B279" s="40">
        <v>306</v>
      </c>
      <c r="C279" s="76" t="s">
        <v>365</v>
      </c>
      <c r="D279" s="185">
        <v>4</v>
      </c>
      <c r="E279" s="78"/>
      <c r="F279" s="177"/>
      <c r="G279" s="177"/>
      <c r="H279" s="79"/>
      <c r="I279" s="79" t="s">
        <v>9</v>
      </c>
      <c r="J279" s="79"/>
      <c r="K279" s="79"/>
      <c r="L279" s="77" t="str">
        <f>CONCATENATE(NETWORKDAYS(M279,N279,holiday!B$4:B$20),"일")</f>
        <v>1일</v>
      </c>
      <c r="M279" s="273">
        <v>46162</v>
      </c>
      <c r="N279" s="273">
        <v>46162</v>
      </c>
      <c r="O279" s="107" t="s">
        <v>68</v>
      </c>
      <c r="P279" s="248" t="s">
        <v>75</v>
      </c>
      <c r="Q279" s="107" t="s">
        <v>244</v>
      </c>
      <c r="R279" s="80">
        <f>IF(COUNTBLANK(M279:N279)&gt;0,0,1/NETWORKDAYS(M279,N279,holiday!B$4:B$20)*(IF($S$5&lt;=M279,0,NETWORKDAYS(M279,IF($S$5&gt;N279,N279,$S$5),holiday!B$4:B$20))))</f>
        <v>0</v>
      </c>
      <c r="S279" s="218"/>
      <c r="T279" s="218"/>
      <c r="U279" s="219">
        <v>0</v>
      </c>
      <c r="V279" s="99">
        <v>0.3</v>
      </c>
      <c r="W279" s="81">
        <f t="shared" si="57"/>
        <v>0</v>
      </c>
      <c r="X279" s="82">
        <f t="shared" si="62"/>
        <v>0</v>
      </c>
      <c r="Y279" s="83" t="str">
        <f>IF(N279-$S$5&lt;=0,0,CONCATENATE(NETWORKDAYS($S$5,N279,holiday!$B$4:$B$20)))</f>
        <v>30</v>
      </c>
      <c r="Z279" s="84">
        <f t="shared" si="63"/>
        <v>0</v>
      </c>
      <c r="AA279" s="85"/>
      <c r="AB279" s="123"/>
    </row>
    <row r="280" spans="1:30" s="202" customFormat="1" ht="30" customHeight="1" x14ac:dyDescent="0.3">
      <c r="A280" s="96"/>
      <c r="B280" s="40">
        <v>307</v>
      </c>
      <c r="C280" s="76" t="s">
        <v>366</v>
      </c>
      <c r="D280" s="185">
        <v>4</v>
      </c>
      <c r="E280" s="177"/>
      <c r="F280" s="177"/>
      <c r="G280" s="177"/>
      <c r="H280" s="79"/>
      <c r="I280" s="79" t="s">
        <v>564</v>
      </c>
      <c r="J280" s="79"/>
      <c r="K280" s="79"/>
      <c r="L280" s="77" t="str">
        <f>CONCATENATE(NETWORKDAYS(M280,N280,holiday!B$4:B$20),"일")</f>
        <v>1일</v>
      </c>
      <c r="M280" s="273">
        <v>46162</v>
      </c>
      <c r="N280" s="273">
        <v>46162</v>
      </c>
      <c r="O280" s="107" t="s">
        <v>68</v>
      </c>
      <c r="P280" s="248" t="s">
        <v>61</v>
      </c>
      <c r="Q280" s="107" t="s">
        <v>526</v>
      </c>
      <c r="R280" s="80">
        <f>IF(COUNTBLANK(M280:N280)&gt;0,0,1/NETWORKDAYS(M280,N280,holiday!B$4:B$20)*(IF($S$5&lt;=M280,0,NETWORKDAYS(M280,IF($S$5&gt;N280,N280,$S$5),holiday!B$4:B$20))))</f>
        <v>0</v>
      </c>
      <c r="S280" s="218"/>
      <c r="T280" s="218"/>
      <c r="U280" s="219">
        <v>0</v>
      </c>
      <c r="V280" s="99">
        <v>0.3</v>
      </c>
      <c r="W280" s="81">
        <f t="shared" si="57"/>
        <v>0</v>
      </c>
      <c r="X280" s="82">
        <f t="shared" si="62"/>
        <v>0</v>
      </c>
      <c r="Y280" s="83" t="str">
        <f>IF(N280-$S$5&lt;=0,0,CONCATENATE(NETWORKDAYS($S$5,N280,holiday!$B$4:$B$20)))</f>
        <v>30</v>
      </c>
      <c r="Z280" s="84">
        <f t="shared" si="63"/>
        <v>0</v>
      </c>
      <c r="AA280" s="85"/>
      <c r="AB280" s="123"/>
    </row>
    <row r="281" spans="1:30" s="202" customFormat="1" ht="30" customHeight="1" x14ac:dyDescent="0.3">
      <c r="A281" s="93"/>
      <c r="B281" s="40">
        <v>308</v>
      </c>
      <c r="C281" s="180" t="s">
        <v>137</v>
      </c>
      <c r="D281" s="264">
        <v>2</v>
      </c>
      <c r="E281" s="182"/>
      <c r="F281" s="190"/>
      <c r="G281" s="190" t="s">
        <v>133</v>
      </c>
      <c r="H281" s="183"/>
      <c r="I281" s="183"/>
      <c r="J281" s="183"/>
      <c r="K281" s="183"/>
      <c r="L281" s="181" t="str">
        <f>CONCATENATE(NETWORKDAYS(M281,N281,holiday!B$4:B$20),"일")</f>
        <v>1일</v>
      </c>
      <c r="M281" s="112">
        <f>MIN(M282)</f>
        <v>46162</v>
      </c>
      <c r="N281" s="112">
        <f>MAX(N282)</f>
        <v>46162</v>
      </c>
      <c r="O281" s="113" t="s">
        <v>68</v>
      </c>
      <c r="P281" s="113" t="s">
        <v>68</v>
      </c>
      <c r="Q281" s="113" t="s">
        <v>243</v>
      </c>
      <c r="R281" s="265">
        <f>SUM(W282)</f>
        <v>0</v>
      </c>
      <c r="S281" s="112"/>
      <c r="T281" s="112"/>
      <c r="U281" s="265">
        <f>SUM(X282)</f>
        <v>0</v>
      </c>
      <c r="V281" s="266">
        <v>0.25</v>
      </c>
      <c r="W281" s="268">
        <f t="shared" si="57"/>
        <v>0</v>
      </c>
      <c r="X281" s="267">
        <f t="shared" si="62"/>
        <v>0</v>
      </c>
      <c r="Y281" s="264" t="str">
        <f>IF(N281-$S$5&lt;=0,0,CONCATENATE(NETWORKDAYS($S$5,N281,holiday!$B$4:$B$20)))</f>
        <v>30</v>
      </c>
      <c r="Z281" s="269">
        <f t="shared" si="63"/>
        <v>0</v>
      </c>
      <c r="AA281" s="270"/>
      <c r="AB281" s="193"/>
    </row>
    <row r="282" spans="1:30" s="202" customFormat="1" ht="30" customHeight="1" x14ac:dyDescent="0.3">
      <c r="A282" s="96"/>
      <c r="B282" s="40">
        <v>309</v>
      </c>
      <c r="C282" s="252" t="s">
        <v>367</v>
      </c>
      <c r="D282" s="185">
        <v>3</v>
      </c>
      <c r="E282" s="254"/>
      <c r="F282" s="177"/>
      <c r="G282" s="177"/>
      <c r="H282" s="271" t="s">
        <v>145</v>
      </c>
      <c r="I282" s="255"/>
      <c r="J282" s="255"/>
      <c r="K282" s="255"/>
      <c r="L282" s="253" t="str">
        <f>CONCATENATE(NETWORKDAYS(M282,N282,holiday!B$4:B$20),"일")</f>
        <v>1일</v>
      </c>
      <c r="M282" s="106">
        <f>MIN(M283,M284,M285)</f>
        <v>46162</v>
      </c>
      <c r="N282" s="106">
        <f>MAX(N283,N284,N285)</f>
        <v>46162</v>
      </c>
      <c r="O282" s="107" t="s">
        <v>68</v>
      </c>
      <c r="P282" s="107" t="s">
        <v>68</v>
      </c>
      <c r="Q282" s="107" t="s">
        <v>243</v>
      </c>
      <c r="R282" s="262">
        <f>SUM(W283:W285)</f>
        <v>0</v>
      </c>
      <c r="S282" s="218"/>
      <c r="T282" s="218"/>
      <c r="U282" s="256">
        <f>SUM(X283:X285)</f>
        <v>0</v>
      </c>
      <c r="V282" s="195">
        <v>1</v>
      </c>
      <c r="W282" s="257">
        <f t="shared" si="57"/>
        <v>0</v>
      </c>
      <c r="X282" s="184">
        <f t="shared" si="62"/>
        <v>0</v>
      </c>
      <c r="Y282" s="185" t="str">
        <f>IF(N282-$S$5&lt;=0,0,CONCATENATE(NETWORKDAYS($S$5,N282,holiday!$B$4:$B$20)))</f>
        <v>30</v>
      </c>
      <c r="Z282" s="186">
        <f t="shared" si="63"/>
        <v>0</v>
      </c>
      <c r="AA282" s="225"/>
      <c r="AB282" s="192"/>
    </row>
    <row r="283" spans="1:30" s="212" customFormat="1" ht="30" customHeight="1" x14ac:dyDescent="0.3">
      <c r="A283" s="96"/>
      <c r="B283" s="40">
        <v>310</v>
      </c>
      <c r="C283" s="252" t="s">
        <v>368</v>
      </c>
      <c r="D283" s="185">
        <v>4</v>
      </c>
      <c r="E283" s="254"/>
      <c r="F283" s="177"/>
      <c r="G283" s="177"/>
      <c r="H283" s="255"/>
      <c r="I283" s="255" t="s">
        <v>17</v>
      </c>
      <c r="J283" s="255"/>
      <c r="K283" s="255"/>
      <c r="L283" s="253" t="str">
        <f>CONCATENATE(NETWORKDAYS(M283,N283,holiday!B$4:B$20),"일")</f>
        <v>1일</v>
      </c>
      <c r="M283" s="106">
        <v>46162</v>
      </c>
      <c r="N283" s="106">
        <v>46162</v>
      </c>
      <c r="O283" s="107" t="s">
        <v>68</v>
      </c>
      <c r="P283" s="107" t="s">
        <v>183</v>
      </c>
      <c r="Q283" s="107" t="s">
        <v>414</v>
      </c>
      <c r="R283" s="80">
        <f>IF(COUNTBLANK(M283:N283)&gt;0,0,1/NETWORKDAYS(M283,N283,holiday!B$4:B$20)*(IF($S$5&lt;=M283,0,NETWORKDAYS(M283,IF($S$5&gt;N283,N283,$S$5),holiday!B$4:B$20))))</f>
        <v>0</v>
      </c>
      <c r="S283" s="218"/>
      <c r="T283" s="218"/>
      <c r="U283" s="256">
        <v>0</v>
      </c>
      <c r="V283" s="99">
        <v>0.4</v>
      </c>
      <c r="W283" s="257">
        <f t="shared" si="57"/>
        <v>0</v>
      </c>
      <c r="X283" s="184">
        <f t="shared" si="62"/>
        <v>0</v>
      </c>
      <c r="Y283" s="185" t="str">
        <f>IF(N283-$S$5&lt;=0,0,CONCATENATE(NETWORKDAYS($S$5,N283,holiday!$B$4:$B$20)))</f>
        <v>30</v>
      </c>
      <c r="Z283" s="186">
        <f t="shared" si="63"/>
        <v>0</v>
      </c>
      <c r="AA283" s="225"/>
      <c r="AB283" s="227"/>
    </row>
    <row r="284" spans="1:30" s="212" customFormat="1" ht="30" customHeight="1" x14ac:dyDescent="0.3">
      <c r="A284" s="96"/>
      <c r="B284" s="40">
        <v>311</v>
      </c>
      <c r="C284" s="252" t="s">
        <v>369</v>
      </c>
      <c r="D284" s="185">
        <v>4</v>
      </c>
      <c r="E284" s="254"/>
      <c r="F284" s="177"/>
      <c r="G284" s="177"/>
      <c r="H284" s="255"/>
      <c r="I284" s="255" t="s">
        <v>18</v>
      </c>
      <c r="J284" s="255"/>
      <c r="K284" s="255"/>
      <c r="L284" s="253" t="str">
        <f>CONCATENATE(NETWORKDAYS(M284,N284,holiday!B$4:B$20),"일")</f>
        <v>1일</v>
      </c>
      <c r="M284" s="273">
        <v>46162</v>
      </c>
      <c r="N284" s="273">
        <v>46162</v>
      </c>
      <c r="O284" s="107" t="s">
        <v>68</v>
      </c>
      <c r="P284" s="248" t="s">
        <v>75</v>
      </c>
      <c r="Q284" s="107" t="s">
        <v>244</v>
      </c>
      <c r="R284" s="80">
        <f>IF(COUNTBLANK(M284:N284)&gt;0,0,1/NETWORKDAYS(M284,N284,holiday!B$4:B$20)*(IF($S$5&lt;=M284,0,NETWORKDAYS(M284,IF($S$5&gt;N284,N284,$S$5),holiday!B$4:B$20))))</f>
        <v>0</v>
      </c>
      <c r="S284" s="218"/>
      <c r="T284" s="218"/>
      <c r="U284" s="256">
        <v>0</v>
      </c>
      <c r="V284" s="99">
        <v>0.3</v>
      </c>
      <c r="W284" s="257">
        <f t="shared" si="57"/>
        <v>0</v>
      </c>
      <c r="X284" s="184">
        <f t="shared" si="62"/>
        <v>0</v>
      </c>
      <c r="Y284" s="185" t="str">
        <f>IF(N284-$S$5&lt;=0,0,CONCATENATE(NETWORKDAYS($S$5,N284,holiday!$B$4:$B$20)))</f>
        <v>30</v>
      </c>
      <c r="Z284" s="186">
        <f t="shared" si="63"/>
        <v>0</v>
      </c>
      <c r="AA284" s="225"/>
      <c r="AB284" s="227"/>
    </row>
    <row r="285" spans="1:30" s="212" customFormat="1" ht="30" customHeight="1" x14ac:dyDescent="0.3">
      <c r="A285" s="96"/>
      <c r="B285" s="40">
        <v>312</v>
      </c>
      <c r="C285" s="252" t="s">
        <v>370</v>
      </c>
      <c r="D285" s="185">
        <v>4</v>
      </c>
      <c r="E285" s="177"/>
      <c r="F285" s="177"/>
      <c r="G285" s="177"/>
      <c r="H285" s="255"/>
      <c r="I285" s="255" t="s">
        <v>15</v>
      </c>
      <c r="J285" s="255"/>
      <c r="K285" s="255"/>
      <c r="L285" s="253" t="str">
        <f>CONCATENATE(NETWORKDAYS(M285,N285,holiday!B$4:B$20),"일")</f>
        <v>1일</v>
      </c>
      <c r="M285" s="273">
        <v>46162</v>
      </c>
      <c r="N285" s="273">
        <v>46162</v>
      </c>
      <c r="O285" s="107" t="s">
        <v>68</v>
      </c>
      <c r="P285" s="248" t="s">
        <v>61</v>
      </c>
      <c r="Q285" s="107" t="s">
        <v>526</v>
      </c>
      <c r="R285" s="80">
        <f>IF(COUNTBLANK(M285:N285)&gt;0,0,1/NETWORKDAYS(M285,N285,holiday!B$4:B$20)*(IF($S$5&lt;=M285,0,NETWORKDAYS(M285,IF($S$5&gt;N285,N285,$S$5),holiday!B$4:B$20))))</f>
        <v>0</v>
      </c>
      <c r="S285" s="218"/>
      <c r="T285" s="244"/>
      <c r="U285" s="256">
        <v>0</v>
      </c>
      <c r="V285" s="99">
        <v>0.3</v>
      </c>
      <c r="W285" s="257">
        <f t="shared" si="57"/>
        <v>0</v>
      </c>
      <c r="X285" s="184">
        <f t="shared" si="62"/>
        <v>0</v>
      </c>
      <c r="Y285" s="185" t="str">
        <f>IF(N285-$S$5&lt;=0,0,CONCATENATE(NETWORKDAYS($S$5,N285,holiday!$B$4:$B$20)))</f>
        <v>30</v>
      </c>
      <c r="Z285" s="186">
        <f t="shared" si="63"/>
        <v>0</v>
      </c>
      <c r="AA285" s="225"/>
      <c r="AB285" s="227"/>
    </row>
    <row r="286" spans="1:30" s="207" customFormat="1" x14ac:dyDescent="0.3">
      <c r="A286" s="1"/>
      <c r="B286" s="1"/>
      <c r="C286" s="2"/>
      <c r="D286" s="3"/>
      <c r="E286" s="1"/>
      <c r="F286" s="4"/>
      <c r="G286" s="4"/>
      <c r="H286" s="4"/>
      <c r="I286" s="1"/>
      <c r="J286" s="1"/>
      <c r="K286" s="2"/>
      <c r="L286" s="1"/>
      <c r="M286" s="3"/>
      <c r="N286" s="3"/>
      <c r="O286" s="3"/>
      <c r="P286" s="3"/>
      <c r="Q286" s="3"/>
      <c r="R286" s="5"/>
      <c r="S286" s="3"/>
      <c r="T286" s="3"/>
      <c r="U286" s="5"/>
      <c r="V286" s="5"/>
      <c r="W286" s="6"/>
      <c r="X286" s="6"/>
      <c r="Y286" s="1"/>
      <c r="Z286" s="1"/>
      <c r="AA286" s="7"/>
      <c r="AB286" s="1"/>
      <c r="AD286" s="206"/>
    </row>
    <row r="287" spans="1:30" s="207" customFormat="1" x14ac:dyDescent="0.3">
      <c r="A287" s="1"/>
      <c r="B287" s="1"/>
      <c r="C287" s="2"/>
      <c r="D287" s="3"/>
      <c r="E287" s="1"/>
      <c r="F287" s="4"/>
      <c r="G287" s="4"/>
      <c r="H287" s="4"/>
      <c r="I287" s="1"/>
      <c r="J287" s="1"/>
      <c r="K287" s="2"/>
      <c r="L287" s="1"/>
      <c r="M287" s="3"/>
      <c r="N287" s="3"/>
      <c r="O287" s="3"/>
      <c r="P287" s="3"/>
      <c r="Q287" s="3"/>
      <c r="R287" s="5"/>
      <c r="S287" s="3"/>
      <c r="T287" s="3"/>
      <c r="U287" s="5"/>
      <c r="V287" s="5"/>
      <c r="W287" s="6"/>
      <c r="X287" s="6"/>
      <c r="Y287" s="1"/>
      <c r="Z287" s="1"/>
      <c r="AA287" s="7"/>
      <c r="AB287" s="1"/>
      <c r="AD287" s="206"/>
    </row>
    <row r="288" spans="1:30" s="2" customFormat="1" x14ac:dyDescent="0.3">
      <c r="A288" s="1"/>
      <c r="B288" s="1"/>
      <c r="D288" s="3"/>
      <c r="E288" s="1"/>
      <c r="F288" s="4"/>
      <c r="G288" s="4"/>
      <c r="H288" s="4"/>
      <c r="I288" s="1"/>
      <c r="J288" s="1"/>
      <c r="L288" s="1"/>
      <c r="M288" s="3"/>
      <c r="N288" s="3"/>
      <c r="O288" s="3"/>
      <c r="P288" s="3"/>
      <c r="Q288" s="3"/>
      <c r="R288" s="5"/>
      <c r="S288" s="3"/>
      <c r="T288" s="3"/>
      <c r="U288" s="5"/>
      <c r="V288" s="5"/>
      <c r="W288" s="6"/>
      <c r="X288" s="6"/>
      <c r="Y288" s="1"/>
      <c r="Z288" s="1"/>
      <c r="AA288" s="7"/>
      <c r="AB288" s="1"/>
      <c r="AC288" s="207"/>
      <c r="AD288" s="206"/>
    </row>
    <row r="289" spans="1:30" s="2" customFormat="1" x14ac:dyDescent="0.3">
      <c r="A289" s="1"/>
      <c r="B289" s="1"/>
      <c r="D289" s="3"/>
      <c r="E289" s="1"/>
      <c r="F289" s="4"/>
      <c r="G289" s="4"/>
      <c r="H289" s="4"/>
      <c r="I289" s="1"/>
      <c r="J289" s="1"/>
      <c r="L289" s="1"/>
      <c r="M289" s="3"/>
      <c r="N289" s="3"/>
      <c r="O289" s="3"/>
      <c r="P289" s="3"/>
      <c r="Q289" s="3"/>
      <c r="R289" s="5"/>
      <c r="S289" s="3"/>
      <c r="T289" s="3"/>
      <c r="U289" s="5"/>
      <c r="V289" s="5"/>
      <c r="W289" s="6"/>
      <c r="X289" s="6"/>
      <c r="Y289" s="1"/>
      <c r="Z289" s="1"/>
      <c r="AA289" s="7"/>
      <c r="AB289" s="1"/>
      <c r="AC289" s="207"/>
      <c r="AD289" s="206"/>
    </row>
    <row r="290" spans="1:30" s="2" customFormat="1" x14ac:dyDescent="0.3">
      <c r="A290" s="1"/>
      <c r="B290" s="1"/>
      <c r="D290" s="3"/>
      <c r="E290" s="1"/>
      <c r="F290" s="4"/>
      <c r="G290" s="4"/>
      <c r="H290" s="4"/>
      <c r="I290" s="1"/>
      <c r="J290" s="1"/>
      <c r="L290" s="1"/>
      <c r="M290" s="3"/>
      <c r="N290" s="3"/>
      <c r="O290" s="3"/>
      <c r="P290" s="3"/>
      <c r="Q290" s="3"/>
      <c r="R290" s="5"/>
      <c r="S290" s="3"/>
      <c r="T290" s="3"/>
      <c r="U290" s="5"/>
      <c r="V290" s="5"/>
      <c r="W290" s="6"/>
      <c r="X290" s="6"/>
      <c r="Y290" s="1"/>
      <c r="Z290" s="1"/>
      <c r="AA290" s="7"/>
      <c r="AB290" s="1"/>
      <c r="AC290" s="207"/>
      <c r="AD290" s="206"/>
    </row>
    <row r="291" spans="1:30" s="2" customFormat="1" x14ac:dyDescent="0.3">
      <c r="A291" s="1"/>
      <c r="B291" s="1"/>
      <c r="D291" s="3"/>
      <c r="E291" s="1"/>
      <c r="F291" s="4"/>
      <c r="G291" s="4"/>
      <c r="H291" s="4"/>
      <c r="I291" s="1"/>
      <c r="J291" s="1"/>
      <c r="L291" s="1"/>
      <c r="M291" s="3"/>
      <c r="N291" s="3"/>
      <c r="O291" s="3"/>
      <c r="P291" s="3"/>
      <c r="Q291" s="3"/>
      <c r="R291" s="5"/>
      <c r="S291" s="3"/>
      <c r="T291" s="3"/>
      <c r="U291" s="5"/>
      <c r="V291" s="5"/>
      <c r="W291" s="6"/>
      <c r="X291" s="6"/>
      <c r="Y291" s="1"/>
      <c r="Z291" s="1"/>
      <c r="AA291" s="7"/>
      <c r="AB291" s="1"/>
      <c r="AC291" s="207"/>
      <c r="AD291" s="206"/>
    </row>
    <row r="292" spans="1:30" s="2" customFormat="1" x14ac:dyDescent="0.3">
      <c r="A292" s="1"/>
      <c r="B292" s="1"/>
      <c r="D292" s="3"/>
      <c r="E292" s="1"/>
      <c r="F292" s="4"/>
      <c r="G292" s="4"/>
      <c r="H292" s="4"/>
      <c r="I292" s="1"/>
      <c r="J292" s="1"/>
      <c r="L292" s="1"/>
      <c r="M292" s="3"/>
      <c r="N292" s="3"/>
      <c r="O292" s="3"/>
      <c r="P292" s="3"/>
      <c r="Q292" s="3"/>
      <c r="R292" s="5"/>
      <c r="S292" s="3"/>
      <c r="T292" s="3"/>
      <c r="U292" s="5"/>
      <c r="V292" s="5"/>
      <c r="W292" s="6"/>
      <c r="X292" s="6"/>
      <c r="Y292" s="1"/>
      <c r="Z292" s="1"/>
      <c r="AA292" s="7"/>
      <c r="AB292" s="1"/>
      <c r="AC292" s="207"/>
      <c r="AD292" s="206"/>
    </row>
    <row r="293" spans="1:30" s="2" customFormat="1" x14ac:dyDescent="0.3">
      <c r="A293" s="1"/>
      <c r="B293" s="1"/>
      <c r="D293" s="3"/>
      <c r="E293" s="1"/>
      <c r="F293" s="4"/>
      <c r="G293" s="4"/>
      <c r="H293" s="4"/>
      <c r="I293" s="1"/>
      <c r="J293" s="1"/>
      <c r="L293" s="1"/>
      <c r="M293" s="3"/>
      <c r="N293" s="3"/>
      <c r="O293" s="3"/>
      <c r="P293" s="3"/>
      <c r="Q293" s="3"/>
      <c r="R293" s="5"/>
      <c r="S293" s="3"/>
      <c r="T293" s="3"/>
      <c r="U293" s="5"/>
      <c r="V293" s="5"/>
      <c r="W293" s="6"/>
      <c r="X293" s="6"/>
      <c r="Y293" s="1"/>
      <c r="Z293" s="1"/>
      <c r="AA293" s="7"/>
      <c r="AB293" s="1"/>
      <c r="AC293" s="207"/>
      <c r="AD293" s="206"/>
    </row>
    <row r="294" spans="1:30" s="2" customFormat="1" x14ac:dyDescent="0.3">
      <c r="A294" s="1"/>
      <c r="B294" s="1"/>
      <c r="D294" s="3"/>
      <c r="E294" s="1"/>
      <c r="F294" s="4"/>
      <c r="G294" s="4"/>
      <c r="H294" s="4"/>
      <c r="I294" s="1"/>
      <c r="J294" s="1"/>
      <c r="L294" s="1"/>
      <c r="M294" s="3"/>
      <c r="N294" s="3"/>
      <c r="O294" s="3"/>
      <c r="P294" s="3"/>
      <c r="Q294" s="3"/>
      <c r="R294" s="5"/>
      <c r="S294" s="3"/>
      <c r="T294" s="3"/>
      <c r="U294" s="5"/>
      <c r="V294" s="5"/>
      <c r="W294" s="6"/>
      <c r="X294" s="6"/>
      <c r="Y294" s="1"/>
      <c r="Z294" s="1"/>
      <c r="AA294" s="7"/>
      <c r="AB294" s="1"/>
      <c r="AC294" s="207"/>
      <c r="AD294" s="206"/>
    </row>
    <row r="295" spans="1:30" s="2" customFormat="1" x14ac:dyDescent="0.3">
      <c r="A295" s="1"/>
      <c r="B295" s="1"/>
      <c r="D295" s="3"/>
      <c r="E295" s="1"/>
      <c r="F295" s="4"/>
      <c r="G295" s="4"/>
      <c r="H295" s="4"/>
      <c r="I295" s="1"/>
      <c r="J295" s="1"/>
      <c r="L295" s="1"/>
      <c r="M295" s="3"/>
      <c r="N295" s="3"/>
      <c r="O295" s="3"/>
      <c r="P295" s="3"/>
      <c r="Q295" s="3"/>
      <c r="R295" s="5"/>
      <c r="S295" s="3"/>
      <c r="T295" s="3"/>
      <c r="U295" s="5"/>
      <c r="V295" s="5"/>
      <c r="W295" s="6"/>
      <c r="X295" s="6"/>
      <c r="Y295" s="1"/>
      <c r="Z295" s="1"/>
      <c r="AA295" s="7"/>
      <c r="AB295" s="1"/>
      <c r="AC295" s="207"/>
      <c r="AD295" s="206"/>
    </row>
    <row r="296" spans="1:30" s="2" customFormat="1" x14ac:dyDescent="0.3">
      <c r="A296" s="1"/>
      <c r="B296" s="1"/>
      <c r="D296" s="3"/>
      <c r="E296" s="1"/>
      <c r="F296" s="4"/>
      <c r="G296" s="4"/>
      <c r="H296" s="4"/>
      <c r="I296" s="1"/>
      <c r="J296" s="1"/>
      <c r="L296" s="1"/>
      <c r="M296" s="3"/>
      <c r="N296" s="3"/>
      <c r="O296" s="3"/>
      <c r="P296" s="3"/>
      <c r="Q296" s="3"/>
      <c r="R296" s="5"/>
      <c r="S296" s="3"/>
      <c r="T296" s="3"/>
      <c r="U296" s="5"/>
      <c r="V296" s="5"/>
      <c r="W296" s="6"/>
      <c r="X296" s="6"/>
      <c r="Y296" s="1"/>
      <c r="Z296" s="1"/>
      <c r="AA296" s="7"/>
      <c r="AB296" s="1"/>
      <c r="AC296" s="207"/>
      <c r="AD296" s="206"/>
    </row>
    <row r="297" spans="1:30" s="2" customFormat="1" x14ac:dyDescent="0.3">
      <c r="A297" s="1"/>
      <c r="B297" s="1"/>
      <c r="D297" s="3"/>
      <c r="E297" s="1"/>
      <c r="F297" s="4"/>
      <c r="G297" s="4"/>
      <c r="H297" s="4"/>
      <c r="I297" s="1"/>
      <c r="J297" s="1"/>
      <c r="L297" s="1"/>
      <c r="M297" s="3"/>
      <c r="N297" s="3"/>
      <c r="O297" s="3"/>
      <c r="P297" s="3"/>
      <c r="Q297" s="3"/>
      <c r="R297" s="5"/>
      <c r="S297" s="3"/>
      <c r="T297" s="3"/>
      <c r="U297" s="5"/>
      <c r="V297" s="5"/>
      <c r="W297" s="6"/>
      <c r="X297" s="6"/>
      <c r="Y297" s="1"/>
      <c r="Z297" s="1"/>
      <c r="AA297" s="7"/>
      <c r="AB297" s="1"/>
      <c r="AC297" s="207"/>
      <c r="AD297" s="206"/>
    </row>
    <row r="298" spans="1:30" s="2" customFormat="1" x14ac:dyDescent="0.3">
      <c r="A298" s="1"/>
      <c r="B298" s="1"/>
      <c r="D298" s="3"/>
      <c r="E298" s="1"/>
      <c r="F298" s="4"/>
      <c r="G298" s="4"/>
      <c r="H298" s="4"/>
      <c r="I298" s="1"/>
      <c r="J298" s="1"/>
      <c r="L298" s="1"/>
      <c r="M298" s="3"/>
      <c r="N298" s="3"/>
      <c r="O298" s="3"/>
      <c r="P298" s="3"/>
      <c r="Q298" s="3"/>
      <c r="R298" s="5"/>
      <c r="S298" s="3"/>
      <c r="T298" s="3"/>
      <c r="U298" s="5"/>
      <c r="V298" s="5"/>
      <c r="W298" s="6"/>
      <c r="X298" s="6"/>
      <c r="Y298" s="1"/>
      <c r="Z298" s="1"/>
      <c r="AA298" s="7"/>
      <c r="AB298" s="1"/>
      <c r="AC298" s="207"/>
      <c r="AD298" s="206"/>
    </row>
    <row r="299" spans="1:30" s="2" customFormat="1" x14ac:dyDescent="0.3">
      <c r="A299" s="1"/>
      <c r="B299" s="1"/>
      <c r="D299" s="3"/>
      <c r="E299" s="1"/>
      <c r="F299" s="4"/>
      <c r="G299" s="4"/>
      <c r="H299" s="4"/>
      <c r="I299" s="1"/>
      <c r="J299" s="1"/>
      <c r="L299" s="1"/>
      <c r="M299" s="3"/>
      <c r="N299" s="3"/>
      <c r="O299" s="3"/>
      <c r="P299" s="3"/>
      <c r="Q299" s="3"/>
      <c r="R299" s="5"/>
      <c r="S299" s="3"/>
      <c r="T299" s="3"/>
      <c r="U299" s="5"/>
      <c r="V299" s="5"/>
      <c r="W299" s="6"/>
      <c r="X299" s="6"/>
      <c r="Y299" s="1"/>
      <c r="Z299" s="1"/>
      <c r="AA299" s="7"/>
      <c r="AB299" s="1"/>
      <c r="AC299" s="207"/>
      <c r="AD299" s="206"/>
    </row>
    <row r="300" spans="1:30" s="2" customFormat="1" x14ac:dyDescent="0.3">
      <c r="A300" s="1"/>
      <c r="B300" s="1"/>
      <c r="D300" s="3"/>
      <c r="E300" s="1"/>
      <c r="F300" s="4"/>
      <c r="G300" s="4"/>
      <c r="H300" s="4"/>
      <c r="I300" s="1"/>
      <c r="J300" s="1"/>
      <c r="L300" s="1"/>
      <c r="M300" s="3"/>
      <c r="N300" s="3"/>
      <c r="O300" s="3"/>
      <c r="P300" s="3"/>
      <c r="Q300" s="3"/>
      <c r="R300" s="5"/>
      <c r="S300" s="3"/>
      <c r="T300" s="3"/>
      <c r="U300" s="5"/>
      <c r="V300" s="5"/>
      <c r="W300" s="6"/>
      <c r="X300" s="6"/>
      <c r="Y300" s="1"/>
      <c r="Z300" s="1"/>
      <c r="AA300" s="7"/>
      <c r="AB300" s="1"/>
      <c r="AC300" s="207"/>
      <c r="AD300" s="206"/>
    </row>
    <row r="301" spans="1:30" s="2" customFormat="1" x14ac:dyDescent="0.3">
      <c r="A301" s="1"/>
      <c r="B301" s="1"/>
      <c r="D301" s="3"/>
      <c r="E301" s="1"/>
      <c r="F301" s="4"/>
      <c r="G301" s="4"/>
      <c r="H301" s="4"/>
      <c r="I301" s="1"/>
      <c r="J301" s="1"/>
      <c r="L301" s="1"/>
      <c r="M301" s="3"/>
      <c r="N301" s="3"/>
      <c r="O301" s="3"/>
      <c r="P301" s="3"/>
      <c r="Q301" s="3"/>
      <c r="R301" s="5"/>
      <c r="S301" s="3"/>
      <c r="T301" s="3"/>
      <c r="U301" s="5"/>
      <c r="V301" s="5"/>
      <c r="W301" s="6"/>
      <c r="X301" s="6"/>
      <c r="Y301" s="1"/>
      <c r="Z301" s="1"/>
      <c r="AA301" s="7"/>
      <c r="AB301" s="1"/>
      <c r="AC301" s="207"/>
      <c r="AD301" s="206"/>
    </row>
    <row r="302" spans="1:30" s="2" customFormat="1" x14ac:dyDescent="0.3">
      <c r="A302" s="1"/>
      <c r="B302" s="1"/>
      <c r="D302" s="3"/>
      <c r="E302" s="1"/>
      <c r="F302" s="4"/>
      <c r="G302" s="4"/>
      <c r="H302" s="4"/>
      <c r="I302" s="1"/>
      <c r="J302" s="1"/>
      <c r="L302" s="1"/>
      <c r="M302" s="3"/>
      <c r="N302" s="3"/>
      <c r="O302" s="3"/>
      <c r="P302" s="3"/>
      <c r="Q302" s="3"/>
      <c r="R302" s="5"/>
      <c r="S302" s="3"/>
      <c r="T302" s="3"/>
      <c r="U302" s="5"/>
      <c r="V302" s="5"/>
      <c r="W302" s="6"/>
      <c r="X302" s="6"/>
      <c r="Y302" s="1"/>
      <c r="Z302" s="1"/>
      <c r="AA302" s="7"/>
      <c r="AB302" s="1"/>
      <c r="AC302" s="207"/>
      <c r="AD302" s="206"/>
    </row>
    <row r="303" spans="1:30" s="2" customFormat="1" x14ac:dyDescent="0.3">
      <c r="A303" s="1"/>
      <c r="B303" s="1"/>
      <c r="D303" s="3"/>
      <c r="E303" s="1"/>
      <c r="F303" s="4"/>
      <c r="G303" s="4"/>
      <c r="H303" s="4"/>
      <c r="I303" s="1"/>
      <c r="J303" s="1"/>
      <c r="L303" s="1"/>
      <c r="M303" s="3"/>
      <c r="N303" s="3"/>
      <c r="O303" s="3"/>
      <c r="P303" s="3"/>
      <c r="Q303" s="3"/>
      <c r="R303" s="5"/>
      <c r="S303" s="3"/>
      <c r="T303" s="3"/>
      <c r="U303" s="5"/>
      <c r="V303" s="5"/>
      <c r="W303" s="6"/>
      <c r="X303" s="6"/>
      <c r="Y303" s="1"/>
      <c r="Z303" s="1"/>
      <c r="AA303" s="7"/>
      <c r="AB303" s="1"/>
      <c r="AC303" s="207"/>
      <c r="AD303" s="206"/>
    </row>
    <row r="304" spans="1:30" s="2" customFormat="1" x14ac:dyDescent="0.3">
      <c r="A304" s="1"/>
      <c r="B304" s="1"/>
      <c r="D304" s="3"/>
      <c r="E304" s="1"/>
      <c r="F304" s="4"/>
      <c r="G304" s="4"/>
      <c r="H304" s="4"/>
      <c r="I304" s="1"/>
      <c r="J304" s="1"/>
      <c r="L304" s="1"/>
      <c r="M304" s="3"/>
      <c r="N304" s="3"/>
      <c r="O304" s="3"/>
      <c r="P304" s="3"/>
      <c r="Q304" s="3"/>
      <c r="R304" s="5"/>
      <c r="S304" s="3"/>
      <c r="T304" s="3"/>
      <c r="U304" s="5"/>
      <c r="V304" s="5"/>
      <c r="W304" s="6"/>
      <c r="X304" s="6"/>
      <c r="Y304" s="1"/>
      <c r="Z304" s="1"/>
      <c r="AA304" s="7"/>
      <c r="AB304" s="1"/>
      <c r="AC304" s="207"/>
      <c r="AD304" s="206"/>
    </row>
    <row r="305" spans="1:30" s="2" customFormat="1" x14ac:dyDescent="0.3">
      <c r="A305" s="1"/>
      <c r="B305" s="1"/>
      <c r="D305" s="3"/>
      <c r="E305" s="1"/>
      <c r="F305" s="4"/>
      <c r="G305" s="4"/>
      <c r="H305" s="4"/>
      <c r="I305" s="1"/>
      <c r="J305" s="1"/>
      <c r="L305" s="1"/>
      <c r="M305" s="3"/>
      <c r="N305" s="3"/>
      <c r="O305" s="3"/>
      <c r="P305" s="3"/>
      <c r="Q305" s="3"/>
      <c r="R305" s="5"/>
      <c r="S305" s="3"/>
      <c r="T305" s="3"/>
      <c r="U305" s="5"/>
      <c r="V305" s="5"/>
      <c r="W305" s="6"/>
      <c r="X305" s="6"/>
      <c r="Y305" s="1"/>
      <c r="Z305" s="1"/>
      <c r="AA305" s="7"/>
      <c r="AB305" s="1"/>
      <c r="AC305" s="207"/>
      <c r="AD305" s="206"/>
    </row>
    <row r="306" spans="1:30" s="2" customFormat="1" x14ac:dyDescent="0.3">
      <c r="A306" s="1"/>
      <c r="B306" s="1"/>
      <c r="D306" s="3"/>
      <c r="E306" s="1"/>
      <c r="F306" s="4"/>
      <c r="G306" s="4"/>
      <c r="H306" s="4"/>
      <c r="I306" s="1"/>
      <c r="J306" s="1"/>
      <c r="L306" s="1"/>
      <c r="M306" s="3"/>
      <c r="N306" s="3"/>
      <c r="O306" s="3"/>
      <c r="P306" s="3"/>
      <c r="Q306" s="3"/>
      <c r="R306" s="5"/>
      <c r="S306" s="3"/>
      <c r="T306" s="3"/>
      <c r="U306" s="5"/>
      <c r="V306" s="5"/>
      <c r="W306" s="6"/>
      <c r="X306" s="6"/>
      <c r="Y306" s="1"/>
      <c r="Z306" s="1"/>
      <c r="AA306" s="7"/>
      <c r="AB306" s="1"/>
      <c r="AC306" s="207"/>
      <c r="AD306" s="206"/>
    </row>
    <row r="307" spans="1:30" s="2" customFormat="1" x14ac:dyDescent="0.3">
      <c r="A307" s="1"/>
      <c r="B307" s="1"/>
      <c r="D307" s="3"/>
      <c r="E307" s="1"/>
      <c r="F307" s="4"/>
      <c r="G307" s="4"/>
      <c r="H307" s="4"/>
      <c r="I307" s="1"/>
      <c r="J307" s="1"/>
      <c r="L307" s="1"/>
      <c r="M307" s="3"/>
      <c r="N307" s="3"/>
      <c r="O307" s="3"/>
      <c r="P307" s="3"/>
      <c r="Q307" s="3"/>
      <c r="R307" s="5"/>
      <c r="S307" s="3"/>
      <c r="T307" s="3"/>
      <c r="U307" s="5"/>
      <c r="V307" s="5"/>
      <c r="W307" s="6"/>
      <c r="X307" s="6"/>
      <c r="Y307" s="1"/>
      <c r="Z307" s="1"/>
      <c r="AA307" s="7"/>
      <c r="AB307" s="1"/>
      <c r="AC307" s="207"/>
      <c r="AD307" s="206"/>
    </row>
    <row r="308" spans="1:30" s="2" customFormat="1" x14ac:dyDescent="0.3">
      <c r="A308" s="1"/>
      <c r="B308" s="1"/>
      <c r="D308" s="3"/>
      <c r="E308" s="1"/>
      <c r="F308" s="4"/>
      <c r="G308" s="4"/>
      <c r="H308" s="4"/>
      <c r="I308" s="1"/>
      <c r="J308" s="1"/>
      <c r="L308" s="1"/>
      <c r="M308" s="3"/>
      <c r="N308" s="3"/>
      <c r="O308" s="3"/>
      <c r="P308" s="3"/>
      <c r="Q308" s="3"/>
      <c r="R308" s="5"/>
      <c r="S308" s="3"/>
      <c r="T308" s="3"/>
      <c r="U308" s="5"/>
      <c r="V308" s="5"/>
      <c r="W308" s="6"/>
      <c r="X308" s="6"/>
      <c r="Y308" s="1"/>
      <c r="Z308" s="1"/>
      <c r="AA308" s="7"/>
      <c r="AB308" s="1"/>
      <c r="AC308" s="207"/>
      <c r="AD308" s="206"/>
    </row>
    <row r="309" spans="1:30" s="2" customFormat="1" x14ac:dyDescent="0.3">
      <c r="A309" s="1"/>
      <c r="B309" s="1"/>
      <c r="D309" s="3"/>
      <c r="E309" s="1"/>
      <c r="F309" s="4"/>
      <c r="G309" s="4"/>
      <c r="H309" s="4"/>
      <c r="I309" s="1"/>
      <c r="J309" s="1"/>
      <c r="L309" s="1"/>
      <c r="M309" s="3"/>
      <c r="N309" s="3"/>
      <c r="O309" s="3"/>
      <c r="P309" s="3"/>
      <c r="Q309" s="3"/>
      <c r="R309" s="5"/>
      <c r="S309" s="3"/>
      <c r="T309" s="3"/>
      <c r="U309" s="5"/>
      <c r="V309" s="5"/>
      <c r="W309" s="6"/>
      <c r="X309" s="6"/>
      <c r="Y309" s="1"/>
      <c r="Z309" s="1"/>
      <c r="AA309" s="7"/>
      <c r="AB309" s="1"/>
      <c r="AC309" s="207"/>
      <c r="AD309" s="206"/>
    </row>
    <row r="310" spans="1:30" s="2" customFormat="1" x14ac:dyDescent="0.3">
      <c r="A310" s="1"/>
      <c r="B310" s="1"/>
      <c r="D310" s="3"/>
      <c r="E310" s="1"/>
      <c r="F310" s="4"/>
      <c r="G310" s="4"/>
      <c r="H310" s="4"/>
      <c r="I310" s="1"/>
      <c r="J310" s="1"/>
      <c r="L310" s="1"/>
      <c r="M310" s="3"/>
      <c r="N310" s="3"/>
      <c r="O310" s="3"/>
      <c r="P310" s="3"/>
      <c r="Q310" s="3"/>
      <c r="R310" s="5"/>
      <c r="S310" s="3"/>
      <c r="T310" s="3"/>
      <c r="U310" s="5"/>
      <c r="V310" s="5"/>
      <c r="W310" s="6"/>
      <c r="X310" s="6"/>
      <c r="Y310" s="1"/>
      <c r="Z310" s="1"/>
      <c r="AA310" s="7"/>
      <c r="AB310" s="1"/>
      <c r="AC310" s="207"/>
      <c r="AD310" s="206"/>
    </row>
    <row r="311" spans="1:30" s="2" customFormat="1" x14ac:dyDescent="0.3">
      <c r="A311" s="1"/>
      <c r="B311" s="1"/>
      <c r="D311" s="3"/>
      <c r="E311" s="1"/>
      <c r="F311" s="4"/>
      <c r="G311" s="4"/>
      <c r="H311" s="4"/>
      <c r="I311" s="1"/>
      <c r="J311" s="1"/>
      <c r="L311" s="1"/>
      <c r="M311" s="3"/>
      <c r="N311" s="3"/>
      <c r="O311" s="3"/>
      <c r="P311" s="3"/>
      <c r="Q311" s="3"/>
      <c r="R311" s="5"/>
      <c r="S311" s="3"/>
      <c r="T311" s="3"/>
      <c r="U311" s="5"/>
      <c r="V311" s="5"/>
      <c r="W311" s="6"/>
      <c r="X311" s="6"/>
      <c r="Y311" s="1"/>
      <c r="Z311" s="1"/>
      <c r="AA311" s="7"/>
      <c r="AB311" s="1"/>
      <c r="AC311" s="207"/>
      <c r="AD311" s="206"/>
    </row>
    <row r="312" spans="1:30" s="2" customFormat="1" x14ac:dyDescent="0.3">
      <c r="A312" s="1"/>
      <c r="B312" s="1"/>
      <c r="D312" s="3"/>
      <c r="E312" s="1"/>
      <c r="F312" s="4"/>
      <c r="G312" s="4"/>
      <c r="H312" s="4"/>
      <c r="I312" s="1"/>
      <c r="J312" s="1"/>
      <c r="L312" s="1"/>
      <c r="M312" s="3"/>
      <c r="N312" s="3"/>
      <c r="O312" s="3"/>
      <c r="P312" s="3"/>
      <c r="Q312" s="3"/>
      <c r="R312" s="5"/>
      <c r="S312" s="3"/>
      <c r="T312" s="3"/>
      <c r="U312" s="5"/>
      <c r="V312" s="5"/>
      <c r="W312" s="6"/>
      <c r="X312" s="6"/>
      <c r="Y312" s="1"/>
      <c r="Z312" s="1"/>
      <c r="AA312" s="7"/>
      <c r="AB312" s="1"/>
      <c r="AC312" s="207"/>
      <c r="AD312" s="206"/>
    </row>
    <row r="313" spans="1:30" s="2" customFormat="1" x14ac:dyDescent="0.3">
      <c r="A313" s="1"/>
      <c r="B313" s="1"/>
      <c r="D313" s="3"/>
      <c r="E313" s="1"/>
      <c r="F313" s="4"/>
      <c r="G313" s="4"/>
      <c r="H313" s="4"/>
      <c r="I313" s="1"/>
      <c r="J313" s="1"/>
      <c r="L313" s="1"/>
      <c r="M313" s="3"/>
      <c r="N313" s="3"/>
      <c r="O313" s="3"/>
      <c r="P313" s="3"/>
      <c r="Q313" s="3"/>
      <c r="R313" s="5"/>
      <c r="S313" s="3"/>
      <c r="T313" s="3"/>
      <c r="U313" s="5"/>
      <c r="V313" s="5"/>
      <c r="W313" s="6"/>
      <c r="X313" s="6"/>
      <c r="Y313" s="1"/>
      <c r="Z313" s="1"/>
      <c r="AA313" s="7"/>
      <c r="AB313" s="1"/>
      <c r="AC313" s="207"/>
      <c r="AD313" s="206"/>
    </row>
    <row r="314" spans="1:30" s="2" customFormat="1" x14ac:dyDescent="0.3">
      <c r="A314" s="1"/>
      <c r="B314" s="1"/>
      <c r="D314" s="3"/>
      <c r="E314" s="1"/>
      <c r="F314" s="4"/>
      <c r="G314" s="4"/>
      <c r="H314" s="4"/>
      <c r="I314" s="1"/>
      <c r="J314" s="1"/>
      <c r="L314" s="1"/>
      <c r="M314" s="3"/>
      <c r="N314" s="3"/>
      <c r="O314" s="3"/>
      <c r="P314" s="3"/>
      <c r="Q314" s="3"/>
      <c r="R314" s="5"/>
      <c r="S314" s="3"/>
      <c r="T314" s="3"/>
      <c r="U314" s="5"/>
      <c r="V314" s="5"/>
      <c r="W314" s="6"/>
      <c r="X314" s="6"/>
      <c r="Y314" s="1"/>
      <c r="Z314" s="1"/>
      <c r="AA314" s="7"/>
      <c r="AB314" s="1"/>
      <c r="AC314" s="207"/>
      <c r="AD314" s="206"/>
    </row>
    <row r="315" spans="1:30" s="2" customFormat="1" x14ac:dyDescent="0.3">
      <c r="A315" s="1"/>
      <c r="B315" s="1"/>
      <c r="D315" s="3"/>
      <c r="E315" s="1"/>
      <c r="F315" s="4"/>
      <c r="G315" s="4"/>
      <c r="H315" s="4"/>
      <c r="I315" s="1"/>
      <c r="J315" s="1"/>
      <c r="L315" s="1"/>
      <c r="M315" s="3"/>
      <c r="N315" s="3"/>
      <c r="O315" s="3"/>
      <c r="P315" s="3"/>
      <c r="Q315" s="3"/>
      <c r="R315" s="5"/>
      <c r="S315" s="3"/>
      <c r="T315" s="3"/>
      <c r="U315" s="5"/>
      <c r="V315" s="5"/>
      <c r="W315" s="6"/>
      <c r="X315" s="6"/>
      <c r="Y315" s="1"/>
      <c r="Z315" s="1"/>
      <c r="AA315" s="7"/>
      <c r="AB315" s="1"/>
      <c r="AC315" s="207"/>
      <c r="AD315" s="206"/>
    </row>
    <row r="316" spans="1:30" s="2" customFormat="1" x14ac:dyDescent="0.3">
      <c r="A316" s="1"/>
      <c r="B316" s="1"/>
      <c r="D316" s="3"/>
      <c r="E316" s="1"/>
      <c r="F316" s="4"/>
      <c r="G316" s="4"/>
      <c r="H316" s="4"/>
      <c r="I316" s="1"/>
      <c r="J316" s="1"/>
      <c r="L316" s="1"/>
      <c r="M316" s="3"/>
      <c r="N316" s="3"/>
      <c r="O316" s="3"/>
      <c r="P316" s="3"/>
      <c r="Q316" s="3"/>
      <c r="R316" s="5"/>
      <c r="S316" s="3"/>
      <c r="T316" s="3"/>
      <c r="U316" s="5"/>
      <c r="V316" s="5"/>
      <c r="W316" s="6"/>
      <c r="X316" s="6"/>
      <c r="Y316" s="1"/>
      <c r="Z316" s="1"/>
      <c r="AA316" s="7"/>
      <c r="AB316" s="1"/>
      <c r="AC316" s="207"/>
      <c r="AD316" s="206"/>
    </row>
    <row r="317" spans="1:30" s="2" customFormat="1" x14ac:dyDescent="0.3">
      <c r="A317" s="1"/>
      <c r="B317" s="1"/>
      <c r="D317" s="3"/>
      <c r="E317" s="1"/>
      <c r="F317" s="4"/>
      <c r="G317" s="4"/>
      <c r="H317" s="4"/>
      <c r="I317" s="1"/>
      <c r="J317" s="1"/>
      <c r="L317" s="1"/>
      <c r="M317" s="3"/>
      <c r="N317" s="3"/>
      <c r="O317" s="3"/>
      <c r="P317" s="3"/>
      <c r="Q317" s="3"/>
      <c r="R317" s="5"/>
      <c r="S317" s="3"/>
      <c r="T317" s="3"/>
      <c r="U317" s="5"/>
      <c r="V317" s="5"/>
      <c r="W317" s="6"/>
      <c r="X317" s="6"/>
      <c r="Y317" s="1"/>
      <c r="Z317" s="1"/>
      <c r="AA317" s="7"/>
      <c r="AB317" s="1"/>
      <c r="AC317" s="207"/>
      <c r="AD317" s="206"/>
    </row>
    <row r="318" spans="1:30" s="2" customFormat="1" x14ac:dyDescent="0.3">
      <c r="A318" s="1"/>
      <c r="B318" s="1"/>
      <c r="D318" s="3"/>
      <c r="E318" s="1"/>
      <c r="F318" s="4"/>
      <c r="G318" s="4"/>
      <c r="H318" s="4"/>
      <c r="I318" s="1"/>
      <c r="J318" s="1"/>
      <c r="L318" s="1"/>
      <c r="M318" s="3"/>
      <c r="N318" s="3"/>
      <c r="O318" s="3"/>
      <c r="P318" s="3"/>
      <c r="Q318" s="3"/>
      <c r="R318" s="5"/>
      <c r="S318" s="3"/>
      <c r="T318" s="3"/>
      <c r="U318" s="5"/>
      <c r="V318" s="5"/>
      <c r="W318" s="6"/>
      <c r="X318" s="6"/>
      <c r="Y318" s="1"/>
      <c r="Z318" s="1"/>
      <c r="AA318" s="7"/>
      <c r="AB318" s="1"/>
      <c r="AC318" s="207"/>
      <c r="AD318" s="206"/>
    </row>
    <row r="319" spans="1:30" s="2" customFormat="1" x14ac:dyDescent="0.3">
      <c r="A319" s="1"/>
      <c r="B319" s="1"/>
      <c r="D319" s="3"/>
      <c r="E319" s="1"/>
      <c r="F319" s="4"/>
      <c r="G319" s="4"/>
      <c r="H319" s="4"/>
      <c r="I319" s="1"/>
      <c r="J319" s="1"/>
      <c r="L319" s="1"/>
      <c r="M319" s="3"/>
      <c r="N319" s="3"/>
      <c r="O319" s="3"/>
      <c r="P319" s="3"/>
      <c r="Q319" s="3"/>
      <c r="R319" s="5"/>
      <c r="S319" s="3"/>
      <c r="T319" s="3"/>
      <c r="U319" s="5"/>
      <c r="V319" s="5"/>
      <c r="W319" s="6"/>
      <c r="X319" s="6"/>
      <c r="Y319" s="1"/>
      <c r="Z319" s="1"/>
      <c r="AA319" s="7"/>
      <c r="AB319" s="1"/>
      <c r="AC319" s="207"/>
      <c r="AD319" s="206"/>
    </row>
    <row r="320" spans="1:30" s="2" customFormat="1" x14ac:dyDescent="0.3">
      <c r="A320" s="1"/>
      <c r="B320" s="1"/>
      <c r="D320" s="3"/>
      <c r="E320" s="1"/>
      <c r="F320" s="4"/>
      <c r="G320" s="4"/>
      <c r="H320" s="4"/>
      <c r="I320" s="1"/>
      <c r="J320" s="1"/>
      <c r="L320" s="1"/>
      <c r="M320" s="3"/>
      <c r="N320" s="3"/>
      <c r="O320" s="3"/>
      <c r="P320" s="3"/>
      <c r="Q320" s="3"/>
      <c r="R320" s="5"/>
      <c r="S320" s="3"/>
      <c r="T320" s="3"/>
      <c r="U320" s="5"/>
      <c r="V320" s="5"/>
      <c r="W320" s="6"/>
      <c r="X320" s="6"/>
      <c r="Y320" s="1"/>
      <c r="Z320" s="1"/>
      <c r="AA320" s="7"/>
      <c r="AB320" s="1"/>
      <c r="AC320" s="207"/>
      <c r="AD320" s="206"/>
    </row>
    <row r="321" spans="1:30" s="2" customFormat="1" x14ac:dyDescent="0.3">
      <c r="A321" s="1"/>
      <c r="B321" s="1"/>
      <c r="D321" s="3"/>
      <c r="E321" s="1"/>
      <c r="F321" s="4"/>
      <c r="G321" s="4"/>
      <c r="H321" s="4"/>
      <c r="I321" s="1"/>
      <c r="J321" s="1"/>
      <c r="L321" s="1"/>
      <c r="M321" s="3"/>
      <c r="N321" s="3"/>
      <c r="O321" s="3"/>
      <c r="P321" s="3"/>
      <c r="Q321" s="3"/>
      <c r="R321" s="5"/>
      <c r="S321" s="3"/>
      <c r="T321" s="3"/>
      <c r="U321" s="5"/>
      <c r="V321" s="5"/>
      <c r="W321" s="6"/>
      <c r="X321" s="6"/>
      <c r="Y321" s="1"/>
      <c r="Z321" s="1"/>
      <c r="AA321" s="7"/>
      <c r="AB321" s="1"/>
      <c r="AC321" s="207"/>
      <c r="AD321" s="206"/>
    </row>
    <row r="322" spans="1:30" s="2" customFormat="1" x14ac:dyDescent="0.3">
      <c r="A322" s="1"/>
      <c r="B322" s="1"/>
      <c r="D322" s="3"/>
      <c r="E322" s="1"/>
      <c r="F322" s="4"/>
      <c r="G322" s="4"/>
      <c r="H322" s="4"/>
      <c r="I322" s="1"/>
      <c r="J322" s="1"/>
      <c r="L322" s="1"/>
      <c r="M322" s="3"/>
      <c r="N322" s="3"/>
      <c r="O322" s="3"/>
      <c r="P322" s="3"/>
      <c r="Q322" s="3"/>
      <c r="R322" s="5"/>
      <c r="S322" s="3"/>
      <c r="T322" s="3"/>
      <c r="U322" s="5"/>
      <c r="V322" s="5"/>
      <c r="W322" s="6"/>
      <c r="X322" s="6"/>
      <c r="Y322" s="1"/>
      <c r="Z322" s="1"/>
      <c r="AA322" s="7"/>
      <c r="AB322" s="1"/>
      <c r="AC322" s="207"/>
      <c r="AD322" s="206"/>
    </row>
    <row r="323" spans="1:30" s="2" customFormat="1" x14ac:dyDescent="0.3">
      <c r="A323" s="1"/>
      <c r="B323" s="1"/>
      <c r="D323" s="3"/>
      <c r="E323" s="1"/>
      <c r="F323" s="4"/>
      <c r="G323" s="4"/>
      <c r="H323" s="4"/>
      <c r="I323" s="1"/>
      <c r="J323" s="1"/>
      <c r="L323" s="1"/>
      <c r="M323" s="3"/>
      <c r="N323" s="3"/>
      <c r="O323" s="3"/>
      <c r="P323" s="3"/>
      <c r="Q323" s="3"/>
      <c r="R323" s="5"/>
      <c r="S323" s="3"/>
      <c r="T323" s="3"/>
      <c r="U323" s="5"/>
      <c r="V323" s="5"/>
      <c r="W323" s="6"/>
      <c r="X323" s="6"/>
      <c r="Y323" s="1"/>
      <c r="Z323" s="1"/>
      <c r="AA323" s="7"/>
      <c r="AB323" s="1"/>
      <c r="AC323" s="207"/>
      <c r="AD323" s="206"/>
    </row>
    <row r="324" spans="1:30" s="2" customFormat="1" x14ac:dyDescent="0.3">
      <c r="A324" s="1"/>
      <c r="B324" s="1"/>
      <c r="D324" s="3"/>
      <c r="E324" s="1"/>
      <c r="F324" s="4"/>
      <c r="G324" s="4"/>
      <c r="H324" s="4"/>
      <c r="I324" s="1"/>
      <c r="J324" s="1"/>
      <c r="L324" s="1"/>
      <c r="M324" s="3"/>
      <c r="N324" s="3"/>
      <c r="O324" s="3"/>
      <c r="P324" s="3"/>
      <c r="Q324" s="3"/>
      <c r="R324" s="5"/>
      <c r="S324" s="3"/>
      <c r="T324" s="3"/>
      <c r="U324" s="5"/>
      <c r="V324" s="5"/>
      <c r="W324" s="6"/>
      <c r="X324" s="6"/>
      <c r="Y324" s="1"/>
      <c r="Z324" s="1"/>
      <c r="AA324" s="7"/>
      <c r="AB324" s="1"/>
      <c r="AC324" s="207"/>
      <c r="AD324" s="206"/>
    </row>
    <row r="325" spans="1:30" s="2" customFormat="1" x14ac:dyDescent="0.3">
      <c r="A325" s="1"/>
      <c r="B325" s="1"/>
      <c r="D325" s="3"/>
      <c r="E325" s="1"/>
      <c r="F325" s="4"/>
      <c r="G325" s="4"/>
      <c r="H325" s="4"/>
      <c r="I325" s="1"/>
      <c r="J325" s="1"/>
      <c r="L325" s="1"/>
      <c r="M325" s="3"/>
      <c r="N325" s="3"/>
      <c r="O325" s="3"/>
      <c r="P325" s="3"/>
      <c r="Q325" s="3"/>
      <c r="R325" s="5"/>
      <c r="S325" s="3"/>
      <c r="T325" s="3"/>
      <c r="U325" s="5"/>
      <c r="V325" s="5"/>
      <c r="W325" s="6"/>
      <c r="X325" s="6"/>
      <c r="Y325" s="1"/>
      <c r="Z325" s="1"/>
      <c r="AA325" s="7"/>
      <c r="AB325" s="1"/>
      <c r="AC325" s="207"/>
      <c r="AD325" s="206"/>
    </row>
    <row r="326" spans="1:30" s="2" customFormat="1" x14ac:dyDescent="0.3">
      <c r="A326" s="1"/>
      <c r="B326" s="1"/>
      <c r="D326" s="3"/>
      <c r="E326" s="1"/>
      <c r="F326" s="4"/>
      <c r="G326" s="4"/>
      <c r="H326" s="4"/>
      <c r="I326" s="1"/>
      <c r="J326" s="1"/>
      <c r="L326" s="1"/>
      <c r="M326" s="3"/>
      <c r="N326" s="3"/>
      <c r="O326" s="3"/>
      <c r="P326" s="3"/>
      <c r="Q326" s="3"/>
      <c r="R326" s="5"/>
      <c r="S326" s="3"/>
      <c r="T326" s="3"/>
      <c r="U326" s="5"/>
      <c r="V326" s="5"/>
      <c r="W326" s="6"/>
      <c r="X326" s="6"/>
      <c r="Y326" s="1"/>
      <c r="Z326" s="1"/>
      <c r="AA326" s="7"/>
      <c r="AB326" s="1"/>
      <c r="AC326" s="207"/>
      <c r="AD326" s="206"/>
    </row>
    <row r="327" spans="1:30" s="2" customFormat="1" x14ac:dyDescent="0.3">
      <c r="A327" s="1"/>
      <c r="B327" s="1"/>
      <c r="D327" s="3"/>
      <c r="E327" s="1"/>
      <c r="F327" s="4"/>
      <c r="G327" s="4"/>
      <c r="H327" s="4"/>
      <c r="I327" s="1"/>
      <c r="J327" s="1"/>
      <c r="L327" s="1"/>
      <c r="M327" s="3"/>
      <c r="N327" s="3"/>
      <c r="O327" s="3"/>
      <c r="P327" s="3"/>
      <c r="Q327" s="3"/>
      <c r="R327" s="5"/>
      <c r="S327" s="3"/>
      <c r="T327" s="3"/>
      <c r="U327" s="5"/>
      <c r="V327" s="5"/>
      <c r="W327" s="6"/>
      <c r="X327" s="6"/>
      <c r="Y327" s="1"/>
      <c r="Z327" s="1"/>
      <c r="AA327" s="7"/>
      <c r="AB327" s="1"/>
      <c r="AC327" s="207"/>
      <c r="AD327" s="206"/>
    </row>
    <row r="328" spans="1:30" s="2" customFormat="1" x14ac:dyDescent="0.3">
      <c r="A328" s="1"/>
      <c r="B328" s="1"/>
      <c r="D328" s="3"/>
      <c r="E328" s="1"/>
      <c r="F328" s="4"/>
      <c r="G328" s="4"/>
      <c r="H328" s="4"/>
      <c r="I328" s="1"/>
      <c r="J328" s="1"/>
      <c r="L328" s="1"/>
      <c r="M328" s="3"/>
      <c r="N328" s="3"/>
      <c r="O328" s="3"/>
      <c r="P328" s="3"/>
      <c r="Q328" s="3"/>
      <c r="R328" s="5"/>
      <c r="S328" s="3"/>
      <c r="T328" s="3"/>
      <c r="U328" s="5"/>
      <c r="V328" s="5"/>
      <c r="W328" s="6"/>
      <c r="X328" s="6"/>
      <c r="Y328" s="1"/>
      <c r="Z328" s="1"/>
      <c r="AA328" s="7"/>
      <c r="AB328" s="1"/>
      <c r="AC328" s="207"/>
      <c r="AD328" s="206"/>
    </row>
    <row r="329" spans="1:30" s="2" customFormat="1" x14ac:dyDescent="0.3">
      <c r="A329" s="1"/>
      <c r="B329" s="1"/>
      <c r="D329" s="3"/>
      <c r="E329" s="1"/>
      <c r="F329" s="4"/>
      <c r="G329" s="4"/>
      <c r="H329" s="4"/>
      <c r="I329" s="1"/>
      <c r="J329" s="1"/>
      <c r="L329" s="1"/>
      <c r="M329" s="3"/>
      <c r="N329" s="3"/>
      <c r="O329" s="3"/>
      <c r="P329" s="3"/>
      <c r="Q329" s="3"/>
      <c r="R329" s="5"/>
      <c r="S329" s="3"/>
      <c r="T329" s="3"/>
      <c r="U329" s="5"/>
      <c r="V329" s="5"/>
      <c r="W329" s="6"/>
      <c r="X329" s="6"/>
      <c r="Y329" s="1"/>
      <c r="Z329" s="1"/>
      <c r="AA329" s="7"/>
      <c r="AB329" s="1"/>
      <c r="AC329" s="207"/>
      <c r="AD329" s="206"/>
    </row>
    <row r="330" spans="1:30" s="2" customFormat="1" x14ac:dyDescent="0.3">
      <c r="A330" s="1"/>
      <c r="B330" s="1"/>
      <c r="D330" s="3"/>
      <c r="E330" s="1"/>
      <c r="F330" s="4"/>
      <c r="G330" s="4"/>
      <c r="H330" s="4"/>
      <c r="I330" s="1"/>
      <c r="J330" s="1"/>
      <c r="L330" s="1"/>
      <c r="M330" s="3"/>
      <c r="N330" s="3"/>
      <c r="O330" s="3"/>
      <c r="P330" s="3"/>
      <c r="Q330" s="3"/>
      <c r="R330" s="5"/>
      <c r="S330" s="3"/>
      <c r="T330" s="3"/>
      <c r="U330" s="5"/>
      <c r="V330" s="5"/>
      <c r="W330" s="6"/>
      <c r="X330" s="6"/>
      <c r="Y330" s="1"/>
      <c r="Z330" s="1"/>
      <c r="AA330" s="7"/>
      <c r="AB330" s="1"/>
      <c r="AC330" s="207"/>
      <c r="AD330" s="206"/>
    </row>
    <row r="331" spans="1:30" s="2" customFormat="1" x14ac:dyDescent="0.3">
      <c r="A331" s="1"/>
      <c r="B331" s="1"/>
      <c r="D331" s="3"/>
      <c r="E331" s="1"/>
      <c r="F331" s="4"/>
      <c r="G331" s="4"/>
      <c r="H331" s="4"/>
      <c r="I331" s="1"/>
      <c r="J331" s="1"/>
      <c r="L331" s="1"/>
      <c r="M331" s="3"/>
      <c r="N331" s="3"/>
      <c r="O331" s="3"/>
      <c r="P331" s="3"/>
      <c r="Q331" s="3"/>
      <c r="R331" s="5"/>
      <c r="S331" s="3"/>
      <c r="T331" s="3"/>
      <c r="U331" s="5"/>
      <c r="V331" s="5"/>
      <c r="W331" s="6"/>
      <c r="X331" s="6"/>
      <c r="Y331" s="1"/>
      <c r="Z331" s="1"/>
      <c r="AA331" s="7"/>
      <c r="AB331" s="1"/>
      <c r="AC331" s="207"/>
      <c r="AD331" s="206"/>
    </row>
    <row r="332" spans="1:30" s="2" customFormat="1" x14ac:dyDescent="0.3">
      <c r="A332" s="1"/>
      <c r="B332" s="1"/>
      <c r="D332" s="3"/>
      <c r="E332" s="1"/>
      <c r="F332" s="4"/>
      <c r="G332" s="4"/>
      <c r="H332" s="4"/>
      <c r="I332" s="1"/>
      <c r="J332" s="1"/>
      <c r="L332" s="1"/>
      <c r="M332" s="3"/>
      <c r="N332" s="3"/>
      <c r="O332" s="3"/>
      <c r="P332" s="3"/>
      <c r="Q332" s="3"/>
      <c r="R332" s="5"/>
      <c r="S332" s="3"/>
      <c r="T332" s="3"/>
      <c r="U332" s="5"/>
      <c r="V332" s="5"/>
      <c r="W332" s="6"/>
      <c r="X332" s="6"/>
      <c r="Y332" s="1"/>
      <c r="Z332" s="1"/>
      <c r="AA332" s="7"/>
      <c r="AB332" s="1"/>
      <c r="AC332" s="207"/>
      <c r="AD332" s="206"/>
    </row>
    <row r="333" spans="1:30" s="2" customFormat="1" x14ac:dyDescent="0.3">
      <c r="A333" s="1"/>
      <c r="B333" s="1"/>
      <c r="D333" s="3"/>
      <c r="E333" s="1"/>
      <c r="F333" s="4"/>
      <c r="G333" s="4"/>
      <c r="H333" s="4"/>
      <c r="I333" s="1"/>
      <c r="J333" s="1"/>
      <c r="L333" s="1"/>
      <c r="M333" s="3"/>
      <c r="N333" s="3"/>
      <c r="O333" s="3"/>
      <c r="P333" s="3"/>
      <c r="Q333" s="3"/>
      <c r="R333" s="5"/>
      <c r="S333" s="3"/>
      <c r="T333" s="3"/>
      <c r="U333" s="5"/>
      <c r="V333" s="5"/>
      <c r="W333" s="6"/>
      <c r="X333" s="6"/>
      <c r="Y333" s="1"/>
      <c r="Z333" s="1"/>
      <c r="AA333" s="7"/>
      <c r="AB333" s="1"/>
      <c r="AC333" s="207"/>
      <c r="AD333" s="206"/>
    </row>
    <row r="334" spans="1:30" s="2" customFormat="1" x14ac:dyDescent="0.3">
      <c r="A334" s="1"/>
      <c r="B334" s="1"/>
      <c r="D334" s="3"/>
      <c r="E334" s="1"/>
      <c r="F334" s="4"/>
      <c r="G334" s="4"/>
      <c r="H334" s="4"/>
      <c r="I334" s="1"/>
      <c r="J334" s="1"/>
      <c r="L334" s="1"/>
      <c r="M334" s="3"/>
      <c r="N334" s="3"/>
      <c r="O334" s="3"/>
      <c r="P334" s="3"/>
      <c r="Q334" s="3"/>
      <c r="R334" s="5"/>
      <c r="S334" s="3"/>
      <c r="T334" s="3"/>
      <c r="U334" s="5"/>
      <c r="V334" s="5"/>
      <c r="W334" s="6"/>
      <c r="X334" s="6"/>
      <c r="Y334" s="1"/>
      <c r="Z334" s="1"/>
      <c r="AA334" s="7"/>
      <c r="AB334" s="1"/>
      <c r="AC334" s="207"/>
      <c r="AD334" s="206"/>
    </row>
    <row r="335" spans="1:30" s="2" customFormat="1" x14ac:dyDescent="0.3">
      <c r="A335" s="1"/>
      <c r="B335" s="1"/>
      <c r="D335" s="3"/>
      <c r="E335" s="1"/>
      <c r="F335" s="4"/>
      <c r="G335" s="4"/>
      <c r="H335" s="4"/>
      <c r="I335" s="1"/>
      <c r="J335" s="1"/>
      <c r="L335" s="1"/>
      <c r="M335" s="3"/>
      <c r="N335" s="3"/>
      <c r="O335" s="3"/>
      <c r="P335" s="3"/>
      <c r="Q335" s="3"/>
      <c r="R335" s="5"/>
      <c r="S335" s="3"/>
      <c r="T335" s="3"/>
      <c r="U335" s="5"/>
      <c r="V335" s="5"/>
      <c r="W335" s="6"/>
      <c r="X335" s="6"/>
      <c r="Y335" s="1"/>
      <c r="Z335" s="1"/>
      <c r="AA335" s="7"/>
      <c r="AB335" s="1"/>
      <c r="AC335" s="207"/>
      <c r="AD335" s="206"/>
    </row>
    <row r="336" spans="1:30" s="2" customFormat="1" x14ac:dyDescent="0.3">
      <c r="A336" s="1"/>
      <c r="B336" s="1"/>
      <c r="D336" s="3"/>
      <c r="E336" s="1"/>
      <c r="F336" s="4"/>
      <c r="G336" s="4"/>
      <c r="H336" s="4"/>
      <c r="I336" s="1"/>
      <c r="J336" s="1"/>
      <c r="L336" s="1"/>
      <c r="M336" s="3"/>
      <c r="N336" s="3"/>
      <c r="O336" s="3"/>
      <c r="P336" s="3"/>
      <c r="Q336" s="3"/>
      <c r="R336" s="5"/>
      <c r="S336" s="3"/>
      <c r="T336" s="3"/>
      <c r="U336" s="5"/>
      <c r="V336" s="5"/>
      <c r="W336" s="6"/>
      <c r="X336" s="6"/>
      <c r="Y336" s="1"/>
      <c r="Z336" s="1"/>
      <c r="AA336" s="7"/>
      <c r="AB336" s="1"/>
      <c r="AC336" s="207"/>
      <c r="AD336" s="206"/>
    </row>
    <row r="337" spans="1:30" s="2" customFormat="1" x14ac:dyDescent="0.3">
      <c r="A337" s="1"/>
      <c r="B337" s="1"/>
      <c r="D337" s="3"/>
      <c r="E337" s="1"/>
      <c r="F337" s="4"/>
      <c r="G337" s="4"/>
      <c r="H337" s="4"/>
      <c r="I337" s="1"/>
      <c r="J337" s="1"/>
      <c r="L337" s="1"/>
      <c r="M337" s="3"/>
      <c r="N337" s="3"/>
      <c r="O337" s="3"/>
      <c r="P337" s="3"/>
      <c r="Q337" s="3"/>
      <c r="R337" s="5"/>
      <c r="S337" s="3"/>
      <c r="T337" s="3"/>
      <c r="U337" s="5"/>
      <c r="V337" s="5"/>
      <c r="W337" s="6"/>
      <c r="X337" s="6"/>
      <c r="Y337" s="1"/>
      <c r="Z337" s="1"/>
      <c r="AA337" s="7"/>
      <c r="AB337" s="1"/>
      <c r="AC337" s="207"/>
      <c r="AD337" s="206"/>
    </row>
    <row r="338" spans="1:30" s="2" customFormat="1" x14ac:dyDescent="0.3">
      <c r="A338" s="1"/>
      <c r="B338" s="1"/>
      <c r="D338" s="3"/>
      <c r="E338" s="1"/>
      <c r="F338" s="4"/>
      <c r="G338" s="4"/>
      <c r="H338" s="4"/>
      <c r="I338" s="1"/>
      <c r="J338" s="1"/>
      <c r="L338" s="1"/>
      <c r="M338" s="3"/>
      <c r="N338" s="3"/>
      <c r="O338" s="3"/>
      <c r="P338" s="3"/>
      <c r="Q338" s="3"/>
      <c r="R338" s="5"/>
      <c r="S338" s="3"/>
      <c r="T338" s="3"/>
      <c r="U338" s="5"/>
      <c r="V338" s="5"/>
      <c r="W338" s="6"/>
      <c r="X338" s="6"/>
      <c r="Y338" s="1"/>
      <c r="Z338" s="1"/>
      <c r="AA338" s="7"/>
      <c r="AB338" s="1"/>
      <c r="AC338" s="207"/>
      <c r="AD338" s="206"/>
    </row>
    <row r="339" spans="1:30" s="2" customFormat="1" x14ac:dyDescent="0.3">
      <c r="A339" s="1"/>
      <c r="B339" s="1"/>
      <c r="D339" s="3"/>
      <c r="E339" s="1"/>
      <c r="F339" s="4"/>
      <c r="G339" s="4"/>
      <c r="H339" s="4"/>
      <c r="I339" s="1"/>
      <c r="J339" s="1"/>
      <c r="L339" s="1"/>
      <c r="M339" s="3"/>
      <c r="N339" s="3"/>
      <c r="O339" s="3"/>
      <c r="P339" s="3"/>
      <c r="Q339" s="3"/>
      <c r="R339" s="5"/>
      <c r="S339" s="3"/>
      <c r="T339" s="3"/>
      <c r="U339" s="5"/>
      <c r="V339" s="5"/>
      <c r="W339" s="6"/>
      <c r="X339" s="6"/>
      <c r="Y339" s="1"/>
      <c r="Z339" s="1"/>
      <c r="AA339" s="7"/>
      <c r="AB339" s="1"/>
      <c r="AC339" s="207"/>
      <c r="AD339" s="206"/>
    </row>
    <row r="340" spans="1:30" s="2" customFormat="1" x14ac:dyDescent="0.3">
      <c r="A340" s="1"/>
      <c r="B340" s="1"/>
      <c r="D340" s="3"/>
      <c r="E340" s="1"/>
      <c r="F340" s="4"/>
      <c r="G340" s="4"/>
      <c r="H340" s="4"/>
      <c r="I340" s="1"/>
      <c r="J340" s="1"/>
      <c r="L340" s="1"/>
      <c r="M340" s="3"/>
      <c r="N340" s="3"/>
      <c r="O340" s="3"/>
      <c r="P340" s="3"/>
      <c r="Q340" s="3"/>
      <c r="R340" s="5"/>
      <c r="S340" s="3"/>
      <c r="T340" s="3"/>
      <c r="U340" s="5"/>
      <c r="V340" s="5"/>
      <c r="W340" s="6"/>
      <c r="X340" s="6"/>
      <c r="Y340" s="1"/>
      <c r="Z340" s="1"/>
      <c r="AA340" s="7"/>
      <c r="AB340" s="1"/>
      <c r="AC340" s="207"/>
      <c r="AD340" s="206"/>
    </row>
    <row r="341" spans="1:30" s="2" customFormat="1" x14ac:dyDescent="0.3">
      <c r="A341" s="1"/>
      <c r="B341" s="1"/>
      <c r="D341" s="3"/>
      <c r="E341" s="1"/>
      <c r="F341" s="4"/>
      <c r="G341" s="4"/>
      <c r="H341" s="4"/>
      <c r="I341" s="1"/>
      <c r="J341" s="1"/>
      <c r="L341" s="1"/>
      <c r="M341" s="3"/>
      <c r="N341" s="3"/>
      <c r="O341" s="3"/>
      <c r="P341" s="3"/>
      <c r="Q341" s="3"/>
      <c r="R341" s="5"/>
      <c r="S341" s="3"/>
      <c r="T341" s="3"/>
      <c r="U341" s="5"/>
      <c r="V341" s="5"/>
      <c r="W341" s="6"/>
      <c r="X341" s="6"/>
      <c r="Y341" s="1"/>
      <c r="Z341" s="1"/>
      <c r="AA341" s="7"/>
      <c r="AB341" s="1"/>
      <c r="AC341" s="207"/>
      <c r="AD341" s="206"/>
    </row>
    <row r="342" spans="1:30" s="2" customFormat="1" x14ac:dyDescent="0.3">
      <c r="A342" s="1"/>
      <c r="B342" s="1"/>
      <c r="D342" s="3"/>
      <c r="E342" s="1"/>
      <c r="F342" s="4"/>
      <c r="G342" s="4"/>
      <c r="H342" s="4"/>
      <c r="I342" s="1"/>
      <c r="J342" s="1"/>
      <c r="L342" s="1"/>
      <c r="M342" s="3"/>
      <c r="N342" s="3"/>
      <c r="O342" s="3"/>
      <c r="P342" s="3"/>
      <c r="Q342" s="3"/>
      <c r="R342" s="5"/>
      <c r="S342" s="3"/>
      <c r="T342" s="3"/>
      <c r="U342" s="5"/>
      <c r="V342" s="5"/>
      <c r="W342" s="6"/>
      <c r="X342" s="6"/>
      <c r="Y342" s="1"/>
      <c r="Z342" s="1"/>
      <c r="AA342" s="7"/>
      <c r="AB342" s="1"/>
      <c r="AC342" s="207"/>
      <c r="AD342" s="206"/>
    </row>
    <row r="343" spans="1:30" s="2" customFormat="1" x14ac:dyDescent="0.3">
      <c r="A343" s="1"/>
      <c r="B343" s="1"/>
      <c r="D343" s="3"/>
      <c r="E343" s="1"/>
      <c r="F343" s="4"/>
      <c r="G343" s="4"/>
      <c r="H343" s="4"/>
      <c r="I343" s="1"/>
      <c r="J343" s="1"/>
      <c r="L343" s="1"/>
      <c r="M343" s="3"/>
      <c r="N343" s="3"/>
      <c r="O343" s="3"/>
      <c r="P343" s="3"/>
      <c r="Q343" s="3"/>
      <c r="R343" s="5"/>
      <c r="S343" s="3"/>
      <c r="T343" s="3"/>
      <c r="U343" s="5"/>
      <c r="V343" s="5"/>
      <c r="W343" s="6"/>
      <c r="X343" s="6"/>
      <c r="Y343" s="1"/>
      <c r="Z343" s="1"/>
      <c r="AA343" s="7"/>
      <c r="AB343" s="1"/>
      <c r="AC343" s="207"/>
      <c r="AD343" s="206"/>
    </row>
    <row r="344" spans="1:30" s="2" customFormat="1" x14ac:dyDescent="0.3">
      <c r="A344" s="1"/>
      <c r="B344" s="1"/>
      <c r="D344" s="3"/>
      <c r="E344" s="1"/>
      <c r="F344" s="4"/>
      <c r="G344" s="4"/>
      <c r="H344" s="4"/>
      <c r="I344" s="1"/>
      <c r="J344" s="1"/>
      <c r="L344" s="1"/>
      <c r="M344" s="3"/>
      <c r="N344" s="3"/>
      <c r="O344" s="3"/>
      <c r="P344" s="3"/>
      <c r="Q344" s="3"/>
      <c r="R344" s="5"/>
      <c r="S344" s="3"/>
      <c r="T344" s="3"/>
      <c r="U344" s="5"/>
      <c r="V344" s="5"/>
      <c r="W344" s="6"/>
      <c r="X344" s="6"/>
      <c r="Y344" s="1"/>
      <c r="Z344" s="1"/>
      <c r="AA344" s="7"/>
      <c r="AB344" s="1"/>
      <c r="AC344" s="207"/>
      <c r="AD344" s="206"/>
    </row>
    <row r="345" spans="1:30" s="2" customFormat="1" x14ac:dyDescent="0.3">
      <c r="A345" s="1"/>
      <c r="B345" s="1"/>
      <c r="D345" s="3"/>
      <c r="E345" s="1"/>
      <c r="F345" s="4"/>
      <c r="G345" s="4"/>
      <c r="H345" s="4"/>
      <c r="I345" s="1"/>
      <c r="J345" s="1"/>
      <c r="L345" s="1"/>
      <c r="M345" s="3"/>
      <c r="N345" s="3"/>
      <c r="O345" s="3"/>
      <c r="P345" s="3"/>
      <c r="Q345" s="3"/>
      <c r="R345" s="5"/>
      <c r="S345" s="3"/>
      <c r="T345" s="3"/>
      <c r="U345" s="5"/>
      <c r="V345" s="5"/>
      <c r="W345" s="6"/>
      <c r="X345" s="6"/>
      <c r="Y345" s="1"/>
      <c r="Z345" s="1"/>
      <c r="AA345" s="7"/>
      <c r="AB345" s="1"/>
      <c r="AC345" s="207"/>
      <c r="AD345" s="206"/>
    </row>
    <row r="346" spans="1:30" s="2" customFormat="1" x14ac:dyDescent="0.3">
      <c r="A346" s="1"/>
      <c r="B346" s="1"/>
      <c r="D346" s="3"/>
      <c r="E346" s="1"/>
      <c r="F346" s="4"/>
      <c r="G346" s="4"/>
      <c r="H346" s="4"/>
      <c r="I346" s="1"/>
      <c r="J346" s="1"/>
      <c r="L346" s="1"/>
      <c r="M346" s="3"/>
      <c r="N346" s="3"/>
      <c r="O346" s="3"/>
      <c r="P346" s="3"/>
      <c r="Q346" s="3"/>
      <c r="R346" s="5"/>
      <c r="S346" s="3"/>
      <c r="T346" s="3"/>
      <c r="U346" s="5"/>
      <c r="V346" s="5"/>
      <c r="W346" s="6"/>
      <c r="X346" s="6"/>
      <c r="Y346" s="1"/>
      <c r="Z346" s="1"/>
      <c r="AA346" s="7"/>
      <c r="AB346" s="1"/>
      <c r="AC346" s="207"/>
      <c r="AD346" s="206"/>
    </row>
    <row r="347" spans="1:30" s="2" customFormat="1" x14ac:dyDescent="0.3">
      <c r="A347" s="1"/>
      <c r="B347" s="1"/>
      <c r="D347" s="3"/>
      <c r="E347" s="1"/>
      <c r="F347" s="4"/>
      <c r="G347" s="4"/>
      <c r="H347" s="4"/>
      <c r="I347" s="1"/>
      <c r="J347" s="1"/>
      <c r="L347" s="1"/>
      <c r="M347" s="3"/>
      <c r="N347" s="3"/>
      <c r="O347" s="3"/>
      <c r="P347" s="3"/>
      <c r="Q347" s="3"/>
      <c r="R347" s="5"/>
      <c r="S347" s="3"/>
      <c r="T347" s="3"/>
      <c r="U347" s="5"/>
      <c r="V347" s="5"/>
      <c r="W347" s="6"/>
      <c r="X347" s="6"/>
      <c r="Y347" s="1"/>
      <c r="Z347" s="1"/>
      <c r="AA347" s="7"/>
      <c r="AB347" s="1"/>
      <c r="AC347" s="207"/>
      <c r="AD347" s="206"/>
    </row>
    <row r="348" spans="1:30" s="2" customFormat="1" x14ac:dyDescent="0.3">
      <c r="A348" s="1"/>
      <c r="B348" s="1"/>
      <c r="D348" s="3"/>
      <c r="E348" s="1"/>
      <c r="F348" s="4"/>
      <c r="G348" s="4"/>
      <c r="H348" s="4"/>
      <c r="I348" s="1"/>
      <c r="J348" s="1"/>
      <c r="L348" s="1"/>
      <c r="M348" s="3"/>
      <c r="N348" s="3"/>
      <c r="O348" s="3"/>
      <c r="P348" s="3"/>
      <c r="Q348" s="3"/>
      <c r="R348" s="5"/>
      <c r="S348" s="3"/>
      <c r="T348" s="3"/>
      <c r="U348" s="5"/>
      <c r="V348" s="5"/>
      <c r="W348" s="6"/>
      <c r="X348" s="6"/>
      <c r="Y348" s="1"/>
      <c r="Z348" s="1"/>
      <c r="AA348" s="7"/>
      <c r="AB348" s="1"/>
      <c r="AC348" s="207"/>
      <c r="AD348" s="206"/>
    </row>
    <row r="349" spans="1:30" s="2" customFormat="1" x14ac:dyDescent="0.3">
      <c r="A349" s="1"/>
      <c r="B349" s="1"/>
      <c r="D349" s="3"/>
      <c r="E349" s="1"/>
      <c r="F349" s="4"/>
      <c r="G349" s="4"/>
      <c r="H349" s="4"/>
      <c r="I349" s="1"/>
      <c r="J349" s="1"/>
      <c r="L349" s="1"/>
      <c r="M349" s="3"/>
      <c r="N349" s="3"/>
      <c r="O349" s="3"/>
      <c r="P349" s="3"/>
      <c r="Q349" s="3"/>
      <c r="R349" s="5"/>
      <c r="S349" s="3"/>
      <c r="T349" s="3"/>
      <c r="U349" s="5"/>
      <c r="V349" s="5"/>
      <c r="W349" s="6"/>
      <c r="X349" s="6"/>
      <c r="Y349" s="1"/>
      <c r="Z349" s="1"/>
      <c r="AA349" s="7"/>
      <c r="AB349" s="1"/>
      <c r="AC349" s="207"/>
      <c r="AD349" s="206"/>
    </row>
    <row r="350" spans="1:30" s="2" customFormat="1" x14ac:dyDescent="0.3">
      <c r="A350" s="1"/>
      <c r="B350" s="1"/>
      <c r="D350" s="3"/>
      <c r="E350" s="1"/>
      <c r="F350" s="4"/>
      <c r="G350" s="4"/>
      <c r="H350" s="4"/>
      <c r="I350" s="1"/>
      <c r="J350" s="1"/>
      <c r="L350" s="1"/>
      <c r="M350" s="3"/>
      <c r="N350" s="3"/>
      <c r="O350" s="3"/>
      <c r="P350" s="3"/>
      <c r="Q350" s="3"/>
      <c r="R350" s="5"/>
      <c r="S350" s="3"/>
      <c r="T350" s="3"/>
      <c r="U350" s="5"/>
      <c r="V350" s="5"/>
      <c r="W350" s="6"/>
      <c r="X350" s="6"/>
      <c r="Y350" s="1"/>
      <c r="Z350" s="1"/>
      <c r="AA350" s="7"/>
      <c r="AB350" s="1"/>
      <c r="AC350" s="207"/>
      <c r="AD350" s="206"/>
    </row>
    <row r="351" spans="1:30" s="2" customFormat="1" x14ac:dyDescent="0.3">
      <c r="A351" s="1"/>
      <c r="B351" s="1"/>
      <c r="D351" s="3"/>
      <c r="E351" s="1"/>
      <c r="F351" s="4"/>
      <c r="G351" s="4"/>
      <c r="H351" s="4"/>
      <c r="I351" s="1"/>
      <c r="J351" s="1"/>
      <c r="L351" s="1"/>
      <c r="M351" s="3"/>
      <c r="N351" s="3"/>
      <c r="O351" s="3"/>
      <c r="P351" s="3"/>
      <c r="Q351" s="3"/>
      <c r="R351" s="5"/>
      <c r="S351" s="3"/>
      <c r="T351" s="3"/>
      <c r="U351" s="5"/>
      <c r="V351" s="5"/>
      <c r="W351" s="6"/>
      <c r="X351" s="6"/>
      <c r="Y351" s="1"/>
      <c r="Z351" s="1"/>
      <c r="AA351" s="7"/>
      <c r="AB351" s="1"/>
      <c r="AC351" s="207"/>
      <c r="AD351" s="206"/>
    </row>
    <row r="352" spans="1:30" s="2" customFormat="1" x14ac:dyDescent="0.3">
      <c r="A352" s="1"/>
      <c r="B352" s="1"/>
      <c r="D352" s="3"/>
      <c r="E352" s="1"/>
      <c r="F352" s="4"/>
      <c r="G352" s="4"/>
      <c r="H352" s="4"/>
      <c r="I352" s="1"/>
      <c r="J352" s="1"/>
      <c r="L352" s="1"/>
      <c r="M352" s="3"/>
      <c r="N352" s="3"/>
      <c r="O352" s="3"/>
      <c r="P352" s="3"/>
      <c r="Q352" s="3"/>
      <c r="R352" s="5"/>
      <c r="S352" s="3"/>
      <c r="T352" s="3"/>
      <c r="U352" s="5"/>
      <c r="V352" s="5"/>
      <c r="W352" s="6"/>
      <c r="X352" s="6"/>
      <c r="Y352" s="1"/>
      <c r="Z352" s="1"/>
      <c r="AA352" s="7"/>
      <c r="AB352" s="1"/>
      <c r="AC352" s="207"/>
      <c r="AD352" s="206"/>
    </row>
    <row r="353" spans="1:30" s="2" customFormat="1" x14ac:dyDescent="0.3">
      <c r="A353" s="1"/>
      <c r="B353" s="1"/>
      <c r="D353" s="3"/>
      <c r="E353" s="1"/>
      <c r="F353" s="4"/>
      <c r="G353" s="4"/>
      <c r="H353" s="4"/>
      <c r="I353" s="1"/>
      <c r="J353" s="1"/>
      <c r="L353" s="1"/>
      <c r="M353" s="3"/>
      <c r="N353" s="3"/>
      <c r="O353" s="3"/>
      <c r="P353" s="3"/>
      <c r="Q353" s="3"/>
      <c r="R353" s="5"/>
      <c r="S353" s="3"/>
      <c r="T353" s="3"/>
      <c r="U353" s="5"/>
      <c r="V353" s="5"/>
      <c r="W353" s="6"/>
      <c r="X353" s="6"/>
      <c r="Y353" s="1"/>
      <c r="Z353" s="1"/>
      <c r="AA353" s="7"/>
      <c r="AB353" s="1"/>
      <c r="AC353" s="207"/>
      <c r="AD353" s="206"/>
    </row>
    <row r="354" spans="1:30" s="2" customFormat="1" x14ac:dyDescent="0.3">
      <c r="A354" s="1"/>
      <c r="B354" s="1"/>
      <c r="D354" s="3"/>
      <c r="E354" s="1"/>
      <c r="F354" s="4"/>
      <c r="G354" s="4"/>
      <c r="H354" s="4"/>
      <c r="I354" s="1"/>
      <c r="J354" s="1"/>
      <c r="L354" s="1"/>
      <c r="M354" s="3"/>
      <c r="N354" s="3"/>
      <c r="O354" s="3"/>
      <c r="P354" s="3"/>
      <c r="Q354" s="3"/>
      <c r="R354" s="5"/>
      <c r="S354" s="3"/>
      <c r="T354" s="3"/>
      <c r="U354" s="5"/>
      <c r="V354" s="5"/>
      <c r="W354" s="6"/>
      <c r="X354" s="6"/>
      <c r="Y354" s="1"/>
      <c r="Z354" s="1"/>
      <c r="AA354" s="7"/>
      <c r="AB354" s="1"/>
      <c r="AC354" s="207"/>
      <c r="AD354" s="206"/>
    </row>
    <row r="355" spans="1:30" s="2" customFormat="1" x14ac:dyDescent="0.3">
      <c r="A355" s="1"/>
      <c r="B355" s="1"/>
      <c r="D355" s="3"/>
      <c r="E355" s="1"/>
      <c r="F355" s="4"/>
      <c r="G355" s="4"/>
      <c r="H355" s="4"/>
      <c r="I355" s="1"/>
      <c r="J355" s="1"/>
      <c r="L355" s="1"/>
      <c r="M355" s="3"/>
      <c r="N355" s="3"/>
      <c r="O355" s="3"/>
      <c r="P355" s="3"/>
      <c r="Q355" s="3"/>
      <c r="R355" s="5"/>
      <c r="S355" s="3"/>
      <c r="T355" s="3"/>
      <c r="U355" s="5"/>
      <c r="V355" s="5"/>
      <c r="W355" s="6"/>
      <c r="X355" s="6"/>
      <c r="Y355" s="1"/>
      <c r="Z355" s="1"/>
      <c r="AA355" s="7"/>
      <c r="AB355" s="1"/>
      <c r="AC355" s="207"/>
      <c r="AD355" s="206"/>
    </row>
    <row r="356" spans="1:30" s="2" customFormat="1" x14ac:dyDescent="0.3">
      <c r="A356" s="1"/>
      <c r="B356" s="1"/>
      <c r="D356" s="3"/>
      <c r="E356" s="1"/>
      <c r="F356" s="4"/>
      <c r="G356" s="4"/>
      <c r="H356" s="4"/>
      <c r="I356" s="1"/>
      <c r="J356" s="1"/>
      <c r="L356" s="1"/>
      <c r="M356" s="3"/>
      <c r="N356" s="3"/>
      <c r="O356" s="3"/>
      <c r="P356" s="3"/>
      <c r="Q356" s="3"/>
      <c r="R356" s="5"/>
      <c r="S356" s="3"/>
      <c r="T356" s="3"/>
      <c r="U356" s="5"/>
      <c r="V356" s="5"/>
      <c r="W356" s="6"/>
      <c r="X356" s="6"/>
      <c r="Y356" s="1"/>
      <c r="Z356" s="1"/>
      <c r="AA356" s="7"/>
      <c r="AB356" s="1"/>
      <c r="AC356" s="207"/>
      <c r="AD356" s="206"/>
    </row>
    <row r="357" spans="1:30" s="2" customFormat="1" x14ac:dyDescent="0.3">
      <c r="A357" s="1"/>
      <c r="B357" s="1"/>
      <c r="D357" s="3"/>
      <c r="E357" s="1"/>
      <c r="F357" s="4"/>
      <c r="G357" s="4"/>
      <c r="H357" s="4"/>
      <c r="I357" s="1"/>
      <c r="J357" s="1"/>
      <c r="L357" s="1"/>
      <c r="M357" s="3"/>
      <c r="N357" s="3"/>
      <c r="O357" s="3"/>
      <c r="P357" s="3"/>
      <c r="Q357" s="3"/>
      <c r="R357" s="5"/>
      <c r="S357" s="3"/>
      <c r="T357" s="3"/>
      <c r="U357" s="5"/>
      <c r="V357" s="5"/>
      <c r="W357" s="6"/>
      <c r="X357" s="6"/>
      <c r="Y357" s="1"/>
      <c r="Z357" s="1"/>
      <c r="AA357" s="7"/>
      <c r="AB357" s="1"/>
      <c r="AC357" s="207"/>
      <c r="AD357" s="206"/>
    </row>
    <row r="358" spans="1:30" s="2" customFormat="1" x14ac:dyDescent="0.3">
      <c r="A358" s="1"/>
      <c r="B358" s="1"/>
      <c r="D358" s="3"/>
      <c r="E358" s="1"/>
      <c r="F358" s="4"/>
      <c r="G358" s="4"/>
      <c r="H358" s="4"/>
      <c r="I358" s="1"/>
      <c r="J358" s="1"/>
      <c r="L358" s="1"/>
      <c r="M358" s="3"/>
      <c r="N358" s="3"/>
      <c r="O358" s="3"/>
      <c r="P358" s="3"/>
      <c r="Q358" s="3"/>
      <c r="R358" s="5"/>
      <c r="S358" s="3"/>
      <c r="T358" s="3"/>
      <c r="U358" s="5"/>
      <c r="V358" s="5"/>
      <c r="W358" s="6"/>
      <c r="X358" s="6"/>
      <c r="Y358" s="1"/>
      <c r="Z358" s="1"/>
      <c r="AA358" s="7"/>
      <c r="AB358" s="1"/>
      <c r="AC358" s="207"/>
      <c r="AD358" s="206"/>
    </row>
    <row r="359" spans="1:30" s="2" customFormat="1" x14ac:dyDescent="0.3">
      <c r="A359" s="1"/>
      <c r="B359" s="1"/>
      <c r="D359" s="3"/>
      <c r="E359" s="1"/>
      <c r="F359" s="4"/>
      <c r="G359" s="4"/>
      <c r="H359" s="4"/>
      <c r="I359" s="1"/>
      <c r="J359" s="1"/>
      <c r="L359" s="1"/>
      <c r="M359" s="3"/>
      <c r="N359" s="3"/>
      <c r="O359" s="3"/>
      <c r="P359" s="3"/>
      <c r="Q359" s="3"/>
      <c r="R359" s="5"/>
      <c r="S359" s="3"/>
      <c r="T359" s="3"/>
      <c r="U359" s="5"/>
      <c r="V359" s="5"/>
      <c r="W359" s="6"/>
      <c r="X359" s="6"/>
      <c r="Y359" s="1"/>
      <c r="Z359" s="1"/>
      <c r="AA359" s="7"/>
      <c r="AB359" s="1"/>
      <c r="AC359" s="207"/>
      <c r="AD359" s="206"/>
    </row>
    <row r="360" spans="1:30" s="2" customFormat="1" x14ac:dyDescent="0.3">
      <c r="A360" s="1"/>
      <c r="B360" s="1"/>
      <c r="D360" s="3"/>
      <c r="E360" s="1"/>
      <c r="F360" s="4"/>
      <c r="G360" s="4"/>
      <c r="H360" s="4"/>
      <c r="I360" s="1"/>
      <c r="J360" s="1"/>
      <c r="L360" s="1"/>
      <c r="M360" s="3"/>
      <c r="N360" s="3"/>
      <c r="O360" s="3"/>
      <c r="P360" s="3"/>
      <c r="Q360" s="3"/>
      <c r="R360" s="5"/>
      <c r="S360" s="3"/>
      <c r="T360" s="3"/>
      <c r="U360" s="5"/>
      <c r="V360" s="5"/>
      <c r="W360" s="6"/>
      <c r="X360" s="6"/>
      <c r="Y360" s="1"/>
      <c r="Z360" s="1"/>
      <c r="AA360" s="7"/>
      <c r="AB360" s="1"/>
      <c r="AC360" s="207"/>
      <c r="AD360" s="206"/>
    </row>
    <row r="361" spans="1:30" s="2" customFormat="1" x14ac:dyDescent="0.3">
      <c r="A361" s="1"/>
      <c r="B361" s="1"/>
      <c r="D361" s="3"/>
      <c r="E361" s="1"/>
      <c r="F361" s="4"/>
      <c r="G361" s="4"/>
      <c r="H361" s="4"/>
      <c r="I361" s="1"/>
      <c r="J361" s="1"/>
      <c r="L361" s="1"/>
      <c r="M361" s="3"/>
      <c r="N361" s="3"/>
      <c r="O361" s="3"/>
      <c r="P361" s="3"/>
      <c r="Q361" s="3"/>
      <c r="R361" s="5"/>
      <c r="S361" s="3"/>
      <c r="T361" s="3"/>
      <c r="U361" s="5"/>
      <c r="V361" s="5"/>
      <c r="W361" s="6"/>
      <c r="X361" s="6"/>
      <c r="Y361" s="1"/>
      <c r="Z361" s="1"/>
      <c r="AA361" s="7"/>
      <c r="AB361" s="1"/>
      <c r="AC361" s="207"/>
      <c r="AD361" s="206"/>
    </row>
    <row r="362" spans="1:30" s="2" customFormat="1" x14ac:dyDescent="0.3">
      <c r="A362" s="1"/>
      <c r="B362" s="1"/>
      <c r="D362" s="3"/>
      <c r="E362" s="1"/>
      <c r="F362" s="4"/>
      <c r="G362" s="4"/>
      <c r="H362" s="4"/>
      <c r="I362" s="1"/>
      <c r="J362" s="1"/>
      <c r="L362" s="1"/>
      <c r="M362" s="3"/>
      <c r="N362" s="3"/>
      <c r="O362" s="3"/>
      <c r="P362" s="3"/>
      <c r="Q362" s="3"/>
      <c r="R362" s="5"/>
      <c r="S362" s="3"/>
      <c r="T362" s="3"/>
      <c r="U362" s="5"/>
      <c r="V362" s="5"/>
      <c r="W362" s="6"/>
      <c r="X362" s="6"/>
      <c r="Y362" s="1"/>
      <c r="Z362" s="1"/>
      <c r="AA362" s="7"/>
      <c r="AB362" s="1"/>
      <c r="AC362" s="207"/>
      <c r="AD362" s="206"/>
    </row>
    <row r="363" spans="1:30" s="2" customFormat="1" x14ac:dyDescent="0.3">
      <c r="A363" s="1"/>
      <c r="B363" s="1"/>
      <c r="D363" s="3"/>
      <c r="E363" s="1"/>
      <c r="F363" s="4"/>
      <c r="G363" s="4"/>
      <c r="H363" s="4"/>
      <c r="I363" s="1"/>
      <c r="J363" s="1"/>
      <c r="L363" s="1"/>
      <c r="M363" s="3"/>
      <c r="N363" s="3"/>
      <c r="O363" s="3"/>
      <c r="P363" s="3"/>
      <c r="Q363" s="3"/>
      <c r="R363" s="5"/>
      <c r="S363" s="3"/>
      <c r="T363" s="3"/>
      <c r="U363" s="5"/>
      <c r="V363" s="5"/>
      <c r="W363" s="6"/>
      <c r="X363" s="6"/>
      <c r="Y363" s="1"/>
      <c r="Z363" s="1"/>
      <c r="AA363" s="7"/>
      <c r="AB363" s="1"/>
      <c r="AC363" s="207"/>
      <c r="AD363" s="206"/>
    </row>
    <row r="364" spans="1:30" s="2" customFormat="1" x14ac:dyDescent="0.3">
      <c r="A364" s="1"/>
      <c r="B364" s="1"/>
      <c r="D364" s="3"/>
      <c r="E364" s="1"/>
      <c r="F364" s="4"/>
      <c r="G364" s="4"/>
      <c r="H364" s="4"/>
      <c r="I364" s="1"/>
      <c r="J364" s="1"/>
      <c r="L364" s="1"/>
      <c r="M364" s="3"/>
      <c r="N364" s="3"/>
      <c r="O364" s="3"/>
      <c r="P364" s="3"/>
      <c r="Q364" s="3"/>
      <c r="R364" s="5"/>
      <c r="S364" s="3"/>
      <c r="T364" s="3"/>
      <c r="U364" s="5"/>
      <c r="V364" s="5"/>
      <c r="W364" s="6"/>
      <c r="X364" s="6"/>
      <c r="Y364" s="1"/>
      <c r="Z364" s="1"/>
      <c r="AA364" s="7"/>
      <c r="AB364" s="1"/>
      <c r="AC364" s="207"/>
      <c r="AD364" s="206"/>
    </row>
    <row r="365" spans="1:30" s="2" customFormat="1" x14ac:dyDescent="0.3">
      <c r="A365" s="1"/>
      <c r="B365" s="1"/>
      <c r="D365" s="3"/>
      <c r="E365" s="1"/>
      <c r="F365" s="4"/>
      <c r="G365" s="4"/>
      <c r="H365" s="4"/>
      <c r="I365" s="1"/>
      <c r="J365" s="1"/>
      <c r="L365" s="1"/>
      <c r="M365" s="3"/>
      <c r="N365" s="3"/>
      <c r="O365" s="3"/>
      <c r="P365" s="3"/>
      <c r="Q365" s="3"/>
      <c r="R365" s="5"/>
      <c r="S365" s="3"/>
      <c r="T365" s="3"/>
      <c r="U365" s="5"/>
      <c r="V365" s="5"/>
      <c r="W365" s="6"/>
      <c r="X365" s="6"/>
      <c r="Y365" s="1"/>
      <c r="Z365" s="1"/>
      <c r="AA365" s="7"/>
      <c r="AB365" s="1"/>
      <c r="AC365" s="207"/>
      <c r="AD365" s="206"/>
    </row>
    <row r="366" spans="1:30" s="2" customFormat="1" x14ac:dyDescent="0.3">
      <c r="A366" s="1"/>
      <c r="B366" s="1"/>
      <c r="D366" s="3"/>
      <c r="E366" s="1"/>
      <c r="F366" s="4"/>
      <c r="G366" s="4"/>
      <c r="H366" s="4"/>
      <c r="I366" s="1"/>
      <c r="J366" s="1"/>
      <c r="L366" s="1"/>
      <c r="M366" s="3"/>
      <c r="N366" s="3"/>
      <c r="O366" s="3"/>
      <c r="P366" s="3"/>
      <c r="Q366" s="3"/>
      <c r="R366" s="5"/>
      <c r="S366" s="3"/>
      <c r="T366" s="3"/>
      <c r="U366" s="5"/>
      <c r="V366" s="5"/>
      <c r="W366" s="6"/>
      <c r="X366" s="6"/>
      <c r="Y366" s="1"/>
      <c r="Z366" s="1"/>
      <c r="AA366" s="7"/>
      <c r="AB366" s="1"/>
      <c r="AC366" s="207"/>
      <c r="AD366" s="206"/>
    </row>
    <row r="367" spans="1:30" s="2" customFormat="1" x14ac:dyDescent="0.3">
      <c r="A367" s="1"/>
      <c r="B367" s="1"/>
      <c r="D367" s="3"/>
      <c r="E367" s="1"/>
      <c r="F367" s="4"/>
      <c r="G367" s="4"/>
      <c r="H367" s="4"/>
      <c r="I367" s="1"/>
      <c r="J367" s="1"/>
      <c r="L367" s="1"/>
      <c r="M367" s="3"/>
      <c r="N367" s="3"/>
      <c r="O367" s="3"/>
      <c r="P367" s="3"/>
      <c r="Q367" s="3"/>
      <c r="R367" s="5"/>
      <c r="S367" s="3"/>
      <c r="T367" s="3"/>
      <c r="U367" s="5"/>
      <c r="V367" s="5"/>
      <c r="W367" s="6"/>
      <c r="X367" s="6"/>
      <c r="Y367" s="1"/>
      <c r="Z367" s="1"/>
      <c r="AA367" s="7"/>
      <c r="AB367" s="1"/>
      <c r="AC367" s="207"/>
      <c r="AD367" s="206"/>
    </row>
    <row r="368" spans="1:30" s="2" customFormat="1" x14ac:dyDescent="0.3">
      <c r="A368" s="1"/>
      <c r="B368" s="1"/>
      <c r="D368" s="3"/>
      <c r="E368" s="1"/>
      <c r="F368" s="4"/>
      <c r="G368" s="4"/>
      <c r="H368" s="4"/>
      <c r="I368" s="1"/>
      <c r="J368" s="1"/>
      <c r="L368" s="1"/>
      <c r="M368" s="3"/>
      <c r="N368" s="3"/>
      <c r="O368" s="3"/>
      <c r="P368" s="3"/>
      <c r="Q368" s="3"/>
      <c r="R368" s="5"/>
      <c r="S368" s="3"/>
      <c r="T368" s="3"/>
      <c r="U368" s="5"/>
      <c r="V368" s="5"/>
      <c r="W368" s="6"/>
      <c r="X368" s="6"/>
      <c r="Y368" s="1"/>
      <c r="Z368" s="1"/>
      <c r="AA368" s="7"/>
      <c r="AB368" s="1"/>
      <c r="AC368" s="207"/>
      <c r="AD368" s="206"/>
    </row>
    <row r="369" spans="1:30" s="2" customFormat="1" x14ac:dyDescent="0.3">
      <c r="A369" s="1"/>
      <c r="B369" s="1"/>
      <c r="D369" s="3"/>
      <c r="E369" s="1"/>
      <c r="F369" s="4"/>
      <c r="G369" s="4"/>
      <c r="H369" s="4"/>
      <c r="I369" s="1"/>
      <c r="J369" s="1"/>
      <c r="L369" s="1"/>
      <c r="M369" s="3"/>
      <c r="N369" s="3"/>
      <c r="O369" s="3"/>
      <c r="P369" s="3"/>
      <c r="Q369" s="3"/>
      <c r="R369" s="5"/>
      <c r="S369" s="3"/>
      <c r="T369" s="3"/>
      <c r="U369" s="5"/>
      <c r="V369" s="5"/>
      <c r="W369" s="6"/>
      <c r="X369" s="6"/>
      <c r="Y369" s="1"/>
      <c r="Z369" s="1"/>
      <c r="AA369" s="7"/>
      <c r="AB369" s="1"/>
      <c r="AC369" s="207"/>
      <c r="AD369" s="206"/>
    </row>
    <row r="370" spans="1:30" s="2" customFormat="1" x14ac:dyDescent="0.3">
      <c r="A370" s="1"/>
      <c r="B370" s="1"/>
      <c r="D370" s="3"/>
      <c r="E370" s="1"/>
      <c r="F370" s="4"/>
      <c r="G370" s="4"/>
      <c r="H370" s="4"/>
      <c r="I370" s="1"/>
      <c r="J370" s="1"/>
      <c r="L370" s="1"/>
      <c r="M370" s="3"/>
      <c r="N370" s="3"/>
      <c r="O370" s="3"/>
      <c r="P370" s="3"/>
      <c r="Q370" s="3"/>
      <c r="R370" s="5"/>
      <c r="S370" s="3"/>
      <c r="T370" s="3"/>
      <c r="U370" s="5"/>
      <c r="V370" s="5"/>
      <c r="W370" s="6"/>
      <c r="X370" s="6"/>
      <c r="Y370" s="1"/>
      <c r="Z370" s="1"/>
      <c r="AA370" s="7"/>
      <c r="AB370" s="1"/>
      <c r="AC370" s="207"/>
      <c r="AD370" s="206"/>
    </row>
    <row r="371" spans="1:30" s="2" customFormat="1" x14ac:dyDescent="0.3">
      <c r="A371" s="1"/>
      <c r="B371" s="1"/>
      <c r="D371" s="3"/>
      <c r="E371" s="1"/>
      <c r="F371" s="4"/>
      <c r="G371" s="4"/>
      <c r="H371" s="4"/>
      <c r="I371" s="1"/>
      <c r="J371" s="1"/>
      <c r="L371" s="1"/>
      <c r="M371" s="3"/>
      <c r="N371" s="3"/>
      <c r="O371" s="3"/>
      <c r="P371" s="3"/>
      <c r="Q371" s="3"/>
      <c r="R371" s="5"/>
      <c r="S371" s="3"/>
      <c r="T371" s="3"/>
      <c r="U371" s="5"/>
      <c r="V371" s="5"/>
      <c r="W371" s="6"/>
      <c r="X371" s="6"/>
      <c r="Y371" s="1"/>
      <c r="Z371" s="1"/>
      <c r="AA371" s="7"/>
      <c r="AB371" s="1"/>
      <c r="AC371" s="207"/>
      <c r="AD371" s="206"/>
    </row>
    <row r="372" spans="1:30" s="2" customFormat="1" x14ac:dyDescent="0.3">
      <c r="A372" s="1"/>
      <c r="B372" s="1"/>
      <c r="D372" s="3"/>
      <c r="E372" s="1"/>
      <c r="F372" s="4"/>
      <c r="G372" s="4"/>
      <c r="H372" s="4"/>
      <c r="I372" s="1"/>
      <c r="J372" s="1"/>
      <c r="L372" s="1"/>
      <c r="M372" s="3"/>
      <c r="N372" s="3"/>
      <c r="O372" s="3"/>
      <c r="P372" s="3"/>
      <c r="Q372" s="3"/>
      <c r="R372" s="5"/>
      <c r="S372" s="3"/>
      <c r="T372" s="3"/>
      <c r="U372" s="5"/>
      <c r="V372" s="5"/>
      <c r="W372" s="6"/>
      <c r="X372" s="6"/>
      <c r="Y372" s="1"/>
      <c r="Z372" s="1"/>
      <c r="AA372" s="7"/>
      <c r="AB372" s="1"/>
      <c r="AC372" s="207"/>
      <c r="AD372" s="206"/>
    </row>
    <row r="373" spans="1:30" s="2" customFormat="1" x14ac:dyDescent="0.3">
      <c r="A373" s="1"/>
      <c r="B373" s="1"/>
      <c r="D373" s="3"/>
      <c r="E373" s="1"/>
      <c r="F373" s="4"/>
      <c r="G373" s="4"/>
      <c r="H373" s="4"/>
      <c r="I373" s="1"/>
      <c r="J373" s="1"/>
      <c r="L373" s="1"/>
      <c r="M373" s="3"/>
      <c r="N373" s="3"/>
      <c r="O373" s="3"/>
      <c r="P373" s="3"/>
      <c r="Q373" s="3"/>
      <c r="R373" s="5"/>
      <c r="S373" s="3"/>
      <c r="T373" s="3"/>
      <c r="U373" s="5"/>
      <c r="V373" s="5"/>
      <c r="W373" s="6"/>
      <c r="X373" s="6"/>
      <c r="Y373" s="1"/>
      <c r="Z373" s="1"/>
      <c r="AA373" s="7"/>
      <c r="AB373" s="1"/>
      <c r="AC373" s="207"/>
      <c r="AD373" s="206"/>
    </row>
    <row r="374" spans="1:30" s="2" customFormat="1" x14ac:dyDescent="0.3">
      <c r="A374" s="1"/>
      <c r="B374" s="1"/>
      <c r="D374" s="3"/>
      <c r="E374" s="1"/>
      <c r="F374" s="4"/>
      <c r="G374" s="4"/>
      <c r="H374" s="4"/>
      <c r="I374" s="1"/>
      <c r="J374" s="1"/>
      <c r="L374" s="1"/>
      <c r="M374" s="3"/>
      <c r="N374" s="3"/>
      <c r="O374" s="3"/>
      <c r="P374" s="3"/>
      <c r="Q374" s="3"/>
      <c r="R374" s="5"/>
      <c r="S374" s="3"/>
      <c r="T374" s="3"/>
      <c r="U374" s="5"/>
      <c r="V374" s="5"/>
      <c r="W374" s="6"/>
      <c r="X374" s="6"/>
      <c r="Y374" s="1"/>
      <c r="Z374" s="1"/>
      <c r="AA374" s="7"/>
      <c r="AB374" s="1"/>
      <c r="AC374" s="207"/>
      <c r="AD374" s="206"/>
    </row>
    <row r="375" spans="1:30" s="2" customFormat="1" x14ac:dyDescent="0.3">
      <c r="A375" s="1"/>
      <c r="B375" s="1"/>
      <c r="D375" s="3"/>
      <c r="E375" s="1"/>
      <c r="F375" s="4"/>
      <c r="G375" s="4"/>
      <c r="H375" s="4"/>
      <c r="I375" s="1"/>
      <c r="J375" s="1"/>
      <c r="L375" s="1"/>
      <c r="M375" s="3"/>
      <c r="N375" s="3"/>
      <c r="O375" s="3"/>
      <c r="P375" s="3"/>
      <c r="Q375" s="3"/>
      <c r="R375" s="5"/>
      <c r="S375" s="3"/>
      <c r="T375" s="3"/>
      <c r="U375" s="5"/>
      <c r="V375" s="5"/>
      <c r="W375" s="6"/>
      <c r="X375" s="6"/>
      <c r="Y375" s="1"/>
      <c r="Z375" s="1"/>
      <c r="AA375" s="7"/>
      <c r="AB375" s="1"/>
      <c r="AC375" s="207"/>
      <c r="AD375" s="206"/>
    </row>
    <row r="376" spans="1:30" s="2" customFormat="1" x14ac:dyDescent="0.3">
      <c r="A376" s="1"/>
      <c r="B376" s="1"/>
      <c r="D376" s="3"/>
      <c r="E376" s="1"/>
      <c r="F376" s="4"/>
      <c r="G376" s="4"/>
      <c r="H376" s="4"/>
      <c r="I376" s="1"/>
      <c r="J376" s="1"/>
      <c r="L376" s="1"/>
      <c r="M376" s="3"/>
      <c r="N376" s="3"/>
      <c r="O376" s="3"/>
      <c r="P376" s="3"/>
      <c r="Q376" s="3"/>
      <c r="R376" s="5"/>
      <c r="S376" s="3"/>
      <c r="T376" s="3"/>
      <c r="U376" s="5"/>
      <c r="V376" s="5"/>
      <c r="W376" s="6"/>
      <c r="X376" s="6"/>
      <c r="Y376" s="1"/>
      <c r="Z376" s="1"/>
      <c r="AA376" s="7"/>
      <c r="AB376" s="1"/>
      <c r="AC376" s="207"/>
      <c r="AD376" s="206"/>
    </row>
    <row r="377" spans="1:30" s="2" customFormat="1" x14ac:dyDescent="0.3">
      <c r="A377" s="1"/>
      <c r="B377" s="1"/>
      <c r="D377" s="3"/>
      <c r="E377" s="1"/>
      <c r="F377" s="4"/>
      <c r="G377" s="4"/>
      <c r="H377" s="4"/>
      <c r="I377" s="1"/>
      <c r="J377" s="1"/>
      <c r="L377" s="1"/>
      <c r="M377" s="3"/>
      <c r="N377" s="3"/>
      <c r="O377" s="3"/>
      <c r="P377" s="3"/>
      <c r="Q377" s="3"/>
      <c r="R377" s="5"/>
      <c r="S377" s="3"/>
      <c r="T377" s="3"/>
      <c r="U377" s="5"/>
      <c r="V377" s="5"/>
      <c r="W377" s="6"/>
      <c r="X377" s="6"/>
      <c r="Y377" s="1"/>
      <c r="Z377" s="1"/>
      <c r="AA377" s="7"/>
      <c r="AB377" s="1"/>
      <c r="AC377" s="207"/>
      <c r="AD377" s="206"/>
    </row>
    <row r="378" spans="1:30" s="2" customFormat="1" x14ac:dyDescent="0.3">
      <c r="A378" s="1"/>
      <c r="B378" s="1"/>
      <c r="D378" s="3"/>
      <c r="E378" s="1"/>
      <c r="F378" s="4"/>
      <c r="G378" s="4"/>
      <c r="H378" s="4"/>
      <c r="I378" s="1"/>
      <c r="J378" s="1"/>
      <c r="L378" s="1"/>
      <c r="M378" s="3"/>
      <c r="N378" s="3"/>
      <c r="O378" s="3"/>
      <c r="P378" s="3"/>
      <c r="Q378" s="3"/>
      <c r="R378" s="5"/>
      <c r="S378" s="3"/>
      <c r="T378" s="3"/>
      <c r="U378" s="5"/>
      <c r="V378" s="5"/>
      <c r="W378" s="6"/>
      <c r="X378" s="6"/>
      <c r="Y378" s="1"/>
      <c r="Z378" s="1"/>
      <c r="AA378" s="7"/>
      <c r="AB378" s="1"/>
      <c r="AC378" s="207"/>
      <c r="AD378" s="206"/>
    </row>
    <row r="379" spans="1:30" s="2" customFormat="1" x14ac:dyDescent="0.3">
      <c r="A379" s="1"/>
      <c r="B379" s="1"/>
      <c r="D379" s="3"/>
      <c r="E379" s="1"/>
      <c r="F379" s="4"/>
      <c r="G379" s="4"/>
      <c r="H379" s="4"/>
      <c r="I379" s="1"/>
      <c r="J379" s="1"/>
      <c r="L379" s="1"/>
      <c r="M379" s="3"/>
      <c r="N379" s="3"/>
      <c r="O379" s="3"/>
      <c r="P379" s="3"/>
      <c r="Q379" s="3"/>
      <c r="R379" s="5"/>
      <c r="S379" s="3"/>
      <c r="T379" s="3"/>
      <c r="U379" s="5"/>
      <c r="V379" s="5"/>
      <c r="W379" s="6"/>
      <c r="X379" s="6"/>
      <c r="Y379" s="1"/>
      <c r="Z379" s="1"/>
      <c r="AA379" s="7"/>
      <c r="AB379" s="1"/>
      <c r="AC379" s="207"/>
      <c r="AD379" s="206"/>
    </row>
    <row r="380" spans="1:30" s="2" customFormat="1" x14ac:dyDescent="0.3">
      <c r="A380" s="1"/>
      <c r="B380" s="1"/>
      <c r="D380" s="3"/>
      <c r="E380" s="1"/>
      <c r="F380" s="4"/>
      <c r="G380" s="4"/>
      <c r="H380" s="4"/>
      <c r="I380" s="1"/>
      <c r="J380" s="1"/>
      <c r="L380" s="1"/>
      <c r="M380" s="3"/>
      <c r="N380" s="3"/>
      <c r="O380" s="3"/>
      <c r="P380" s="3"/>
      <c r="Q380" s="3"/>
      <c r="R380" s="5"/>
      <c r="S380" s="3"/>
      <c r="T380" s="3"/>
      <c r="U380" s="5"/>
      <c r="V380" s="5"/>
      <c r="W380" s="6"/>
      <c r="X380" s="6"/>
      <c r="Y380" s="1"/>
      <c r="Z380" s="1"/>
      <c r="AA380" s="7"/>
      <c r="AB380" s="1"/>
      <c r="AC380" s="207"/>
      <c r="AD380" s="206"/>
    </row>
    <row r="381" spans="1:30" s="2" customFormat="1" x14ac:dyDescent="0.3">
      <c r="A381" s="1"/>
      <c r="B381" s="1"/>
      <c r="D381" s="3"/>
      <c r="E381" s="1"/>
      <c r="F381" s="4"/>
      <c r="G381" s="4"/>
      <c r="H381" s="4"/>
      <c r="I381" s="1"/>
      <c r="J381" s="1"/>
      <c r="L381" s="1"/>
      <c r="M381" s="3"/>
      <c r="N381" s="3"/>
      <c r="O381" s="3"/>
      <c r="P381" s="3"/>
      <c r="Q381" s="3"/>
      <c r="R381" s="5"/>
      <c r="S381" s="3"/>
      <c r="T381" s="3"/>
      <c r="U381" s="5"/>
      <c r="V381" s="5"/>
      <c r="W381" s="6"/>
      <c r="X381" s="6"/>
      <c r="Y381" s="1"/>
      <c r="Z381" s="1"/>
      <c r="AA381" s="7"/>
      <c r="AB381" s="1"/>
      <c r="AC381" s="207"/>
      <c r="AD381" s="206"/>
    </row>
    <row r="382" spans="1:30" s="2" customFormat="1" x14ac:dyDescent="0.3">
      <c r="A382" s="1"/>
      <c r="B382" s="1"/>
      <c r="D382" s="3"/>
      <c r="E382" s="1"/>
      <c r="F382" s="4"/>
      <c r="G382" s="4"/>
      <c r="H382" s="4"/>
      <c r="I382" s="1"/>
      <c r="J382" s="1"/>
      <c r="L382" s="1"/>
      <c r="M382" s="3"/>
      <c r="N382" s="3"/>
      <c r="O382" s="3"/>
      <c r="P382" s="3"/>
      <c r="Q382" s="3"/>
      <c r="R382" s="5"/>
      <c r="S382" s="3"/>
      <c r="T382" s="3"/>
      <c r="U382" s="5"/>
      <c r="V382" s="5"/>
      <c r="W382" s="6"/>
      <c r="X382" s="6"/>
      <c r="Y382" s="1"/>
      <c r="Z382" s="1"/>
      <c r="AA382" s="7"/>
      <c r="AB382" s="1"/>
      <c r="AC382" s="207"/>
      <c r="AD382" s="206"/>
    </row>
    <row r="383" spans="1:30" s="2" customFormat="1" x14ac:dyDescent="0.3">
      <c r="A383" s="1"/>
      <c r="B383" s="1"/>
      <c r="D383" s="3"/>
      <c r="E383" s="1"/>
      <c r="F383" s="4"/>
      <c r="G383" s="4"/>
      <c r="H383" s="4"/>
      <c r="I383" s="1"/>
      <c r="J383" s="1"/>
      <c r="L383" s="1"/>
      <c r="M383" s="3"/>
      <c r="N383" s="3"/>
      <c r="O383" s="3"/>
      <c r="P383" s="3"/>
      <c r="Q383" s="3"/>
      <c r="R383" s="5"/>
      <c r="S383" s="3"/>
      <c r="T383" s="3"/>
      <c r="U383" s="5"/>
      <c r="V383" s="5"/>
      <c r="W383" s="6"/>
      <c r="X383" s="6"/>
      <c r="Y383" s="1"/>
      <c r="Z383" s="1"/>
      <c r="AA383" s="7"/>
      <c r="AB383" s="1"/>
      <c r="AC383" s="207"/>
      <c r="AD383" s="206"/>
    </row>
    <row r="384" spans="1:30" s="2" customFormat="1" x14ac:dyDescent="0.3">
      <c r="A384" s="1"/>
      <c r="B384" s="1"/>
      <c r="D384" s="3"/>
      <c r="E384" s="1"/>
      <c r="F384" s="4"/>
      <c r="G384" s="4"/>
      <c r="H384" s="4"/>
      <c r="I384" s="1"/>
      <c r="J384" s="1"/>
      <c r="L384" s="1"/>
      <c r="M384" s="3"/>
      <c r="N384" s="3"/>
      <c r="O384" s="3"/>
      <c r="P384" s="3"/>
      <c r="Q384" s="3"/>
      <c r="R384" s="5"/>
      <c r="S384" s="3"/>
      <c r="T384" s="3"/>
      <c r="U384" s="5"/>
      <c r="V384" s="5"/>
      <c r="W384" s="6"/>
      <c r="X384" s="6"/>
      <c r="Y384" s="1"/>
      <c r="Z384" s="1"/>
      <c r="AA384" s="7"/>
      <c r="AB384" s="1"/>
      <c r="AC384" s="207"/>
      <c r="AD384" s="206"/>
    </row>
    <row r="385" spans="1:30" s="2" customFormat="1" x14ac:dyDescent="0.3">
      <c r="A385" s="1"/>
      <c r="B385" s="1"/>
      <c r="D385" s="3"/>
      <c r="E385" s="1"/>
      <c r="F385" s="4"/>
      <c r="G385" s="4"/>
      <c r="H385" s="4"/>
      <c r="I385" s="1"/>
      <c r="J385" s="1"/>
      <c r="L385" s="1"/>
      <c r="M385" s="3"/>
      <c r="N385" s="3"/>
      <c r="O385" s="3"/>
      <c r="P385" s="3"/>
      <c r="Q385" s="3"/>
      <c r="R385" s="5"/>
      <c r="S385" s="3"/>
      <c r="T385" s="3"/>
      <c r="U385" s="5"/>
      <c r="V385" s="5"/>
      <c r="W385" s="6"/>
      <c r="X385" s="6"/>
      <c r="Y385" s="1"/>
      <c r="Z385" s="1"/>
      <c r="AA385" s="7"/>
      <c r="AB385" s="1"/>
      <c r="AC385" s="207"/>
      <c r="AD385" s="206"/>
    </row>
    <row r="386" spans="1:30" s="2" customFormat="1" x14ac:dyDescent="0.3">
      <c r="A386" s="1"/>
      <c r="B386" s="1"/>
      <c r="D386" s="3"/>
      <c r="E386" s="1"/>
      <c r="F386" s="4"/>
      <c r="G386" s="4"/>
      <c r="H386" s="4"/>
      <c r="I386" s="1"/>
      <c r="J386" s="1"/>
      <c r="L386" s="1"/>
      <c r="M386" s="3"/>
      <c r="N386" s="3"/>
      <c r="O386" s="3"/>
      <c r="P386" s="3"/>
      <c r="Q386" s="3"/>
      <c r="R386" s="5"/>
      <c r="S386" s="3"/>
      <c r="T386" s="3"/>
      <c r="U386" s="5"/>
      <c r="V386" s="5"/>
      <c r="W386" s="6"/>
      <c r="X386" s="6"/>
      <c r="Y386" s="1"/>
      <c r="Z386" s="1"/>
      <c r="AA386" s="7"/>
      <c r="AB386" s="1"/>
      <c r="AC386" s="207"/>
      <c r="AD386" s="206"/>
    </row>
    <row r="387" spans="1:30" s="2" customFormat="1" x14ac:dyDescent="0.3">
      <c r="A387" s="1"/>
      <c r="B387" s="1"/>
      <c r="D387" s="3"/>
      <c r="E387" s="1"/>
      <c r="F387" s="4"/>
      <c r="G387" s="4"/>
      <c r="H387" s="4"/>
      <c r="I387" s="1"/>
      <c r="J387" s="1"/>
      <c r="L387" s="1"/>
      <c r="M387" s="3"/>
      <c r="N387" s="3"/>
      <c r="O387" s="3"/>
      <c r="P387" s="3"/>
      <c r="Q387" s="3"/>
      <c r="R387" s="5"/>
      <c r="S387" s="3"/>
      <c r="T387" s="3"/>
      <c r="U387" s="5"/>
      <c r="V387" s="5"/>
      <c r="W387" s="6"/>
      <c r="X387" s="6"/>
      <c r="Y387" s="1"/>
      <c r="Z387" s="1"/>
      <c r="AA387" s="7"/>
      <c r="AB387" s="1"/>
      <c r="AC387" s="207"/>
      <c r="AD387" s="206"/>
    </row>
    <row r="388" spans="1:30" s="2" customFormat="1" x14ac:dyDescent="0.3">
      <c r="A388" s="1"/>
      <c r="B388" s="1"/>
      <c r="D388" s="3"/>
      <c r="E388" s="1"/>
      <c r="F388" s="4"/>
      <c r="G388" s="4"/>
      <c r="H388" s="4"/>
      <c r="I388" s="1"/>
      <c r="J388" s="1"/>
      <c r="L388" s="1"/>
      <c r="M388" s="3"/>
      <c r="N388" s="3"/>
      <c r="O388" s="3"/>
      <c r="P388" s="3"/>
      <c r="Q388" s="3"/>
      <c r="R388" s="5"/>
      <c r="S388" s="3"/>
      <c r="T388" s="3"/>
      <c r="U388" s="5"/>
      <c r="V388" s="5"/>
      <c r="W388" s="6"/>
      <c r="X388" s="6"/>
      <c r="Y388" s="1"/>
      <c r="Z388" s="1"/>
      <c r="AA388" s="7"/>
      <c r="AB388" s="1"/>
      <c r="AC388" s="207"/>
      <c r="AD388" s="206"/>
    </row>
    <row r="389" spans="1:30" s="2" customFormat="1" x14ac:dyDescent="0.3">
      <c r="A389" s="1"/>
      <c r="B389" s="1"/>
      <c r="D389" s="3"/>
      <c r="E389" s="1"/>
      <c r="F389" s="4"/>
      <c r="G389" s="4"/>
      <c r="H389" s="4"/>
      <c r="I389" s="1"/>
      <c r="J389" s="1"/>
      <c r="L389" s="1"/>
      <c r="M389" s="3"/>
      <c r="N389" s="3"/>
      <c r="O389" s="3"/>
      <c r="P389" s="3"/>
      <c r="Q389" s="3"/>
      <c r="R389" s="5"/>
      <c r="S389" s="3"/>
      <c r="T389" s="3"/>
      <c r="U389" s="5"/>
      <c r="V389" s="5"/>
      <c r="W389" s="6"/>
      <c r="X389" s="6"/>
      <c r="Y389" s="1"/>
      <c r="Z389" s="1"/>
      <c r="AA389" s="7"/>
      <c r="AB389" s="1"/>
      <c r="AC389" s="207"/>
      <c r="AD389" s="206"/>
    </row>
    <row r="390" spans="1:30" s="2" customFormat="1" x14ac:dyDescent="0.3">
      <c r="A390" s="1"/>
      <c r="B390" s="1"/>
      <c r="D390" s="3"/>
      <c r="E390" s="1"/>
      <c r="F390" s="4"/>
      <c r="G390" s="4"/>
      <c r="H390" s="4"/>
      <c r="I390" s="1"/>
      <c r="J390" s="1"/>
      <c r="L390" s="1"/>
      <c r="M390" s="3"/>
      <c r="N390" s="3"/>
      <c r="O390" s="3"/>
      <c r="P390" s="3"/>
      <c r="Q390" s="3"/>
      <c r="R390" s="5"/>
      <c r="S390" s="3"/>
      <c r="T390" s="3"/>
      <c r="U390" s="5"/>
      <c r="V390" s="5"/>
      <c r="W390" s="6"/>
      <c r="X390" s="6"/>
      <c r="Y390" s="1"/>
      <c r="Z390" s="1"/>
      <c r="AA390" s="7"/>
      <c r="AB390" s="1"/>
      <c r="AC390" s="207"/>
      <c r="AD390" s="206"/>
    </row>
    <row r="391" spans="1:30" s="2" customFormat="1" x14ac:dyDescent="0.3">
      <c r="A391" s="1"/>
      <c r="B391" s="1"/>
      <c r="D391" s="3"/>
      <c r="E391" s="1"/>
      <c r="F391" s="4"/>
      <c r="G391" s="4"/>
      <c r="H391" s="4"/>
      <c r="I391" s="1"/>
      <c r="J391" s="1"/>
      <c r="L391" s="1"/>
      <c r="M391" s="3"/>
      <c r="N391" s="3"/>
      <c r="O391" s="3"/>
      <c r="P391" s="3"/>
      <c r="Q391" s="3"/>
      <c r="R391" s="5"/>
      <c r="S391" s="3"/>
      <c r="T391" s="3"/>
      <c r="U391" s="5"/>
      <c r="V391" s="5"/>
      <c r="W391" s="6"/>
      <c r="X391" s="6"/>
      <c r="Y391" s="1"/>
      <c r="Z391" s="1"/>
      <c r="AA391" s="7"/>
      <c r="AB391" s="1"/>
      <c r="AC391" s="207"/>
      <c r="AD391" s="206"/>
    </row>
    <row r="392" spans="1:30" s="2" customFormat="1" x14ac:dyDescent="0.3">
      <c r="A392" s="1"/>
      <c r="B392" s="1"/>
      <c r="D392" s="3"/>
      <c r="E392" s="1"/>
      <c r="F392" s="4"/>
      <c r="G392" s="4"/>
      <c r="H392" s="4"/>
      <c r="I392" s="1"/>
      <c r="J392" s="1"/>
      <c r="L392" s="1"/>
      <c r="M392" s="3"/>
      <c r="N392" s="3"/>
      <c r="O392" s="3"/>
      <c r="P392" s="3"/>
      <c r="Q392" s="3"/>
      <c r="R392" s="5"/>
      <c r="S392" s="3"/>
      <c r="T392" s="3"/>
      <c r="U392" s="5"/>
      <c r="V392" s="5"/>
      <c r="W392" s="6"/>
      <c r="X392" s="6"/>
      <c r="Y392" s="1"/>
      <c r="Z392" s="1"/>
      <c r="AA392" s="7"/>
      <c r="AB392" s="1"/>
      <c r="AC392" s="207"/>
      <c r="AD392" s="206"/>
    </row>
    <row r="393" spans="1:30" s="2" customFormat="1" x14ac:dyDescent="0.3">
      <c r="A393" s="1"/>
      <c r="B393" s="1"/>
      <c r="D393" s="3"/>
      <c r="E393" s="1"/>
      <c r="F393" s="4"/>
      <c r="G393" s="4"/>
      <c r="H393" s="4"/>
      <c r="I393" s="1"/>
      <c r="J393" s="1"/>
      <c r="L393" s="1"/>
      <c r="M393" s="3"/>
      <c r="N393" s="3"/>
      <c r="O393" s="3"/>
      <c r="P393" s="3"/>
      <c r="Q393" s="3"/>
      <c r="R393" s="5"/>
      <c r="S393" s="3"/>
      <c r="T393" s="3"/>
      <c r="U393" s="5"/>
      <c r="V393" s="5"/>
      <c r="W393" s="6"/>
      <c r="X393" s="6"/>
      <c r="Y393" s="1"/>
      <c r="Z393" s="1"/>
      <c r="AA393" s="7"/>
      <c r="AB393" s="1"/>
      <c r="AC393" s="207"/>
      <c r="AD393" s="206"/>
    </row>
    <row r="394" spans="1:30" s="2" customFormat="1" x14ac:dyDescent="0.3">
      <c r="A394" s="1"/>
      <c r="B394" s="1"/>
      <c r="D394" s="3"/>
      <c r="E394" s="1"/>
      <c r="F394" s="4"/>
      <c r="G394" s="4"/>
      <c r="H394" s="4"/>
      <c r="I394" s="1"/>
      <c r="J394" s="1"/>
      <c r="L394" s="1"/>
      <c r="M394" s="3"/>
      <c r="N394" s="3"/>
      <c r="O394" s="3"/>
      <c r="P394" s="3"/>
      <c r="Q394" s="3"/>
      <c r="R394" s="5"/>
      <c r="S394" s="3"/>
      <c r="T394" s="3"/>
      <c r="U394" s="5"/>
      <c r="V394" s="5"/>
      <c r="W394" s="6"/>
      <c r="X394" s="6"/>
      <c r="Y394" s="1"/>
      <c r="Z394" s="1"/>
      <c r="AA394" s="7"/>
      <c r="AB394" s="1"/>
      <c r="AC394" s="207"/>
      <c r="AD394" s="206"/>
    </row>
    <row r="395" spans="1:30" s="2" customFormat="1" x14ac:dyDescent="0.3">
      <c r="A395" s="1"/>
      <c r="B395" s="1"/>
      <c r="D395" s="3"/>
      <c r="E395" s="1"/>
      <c r="F395" s="4"/>
      <c r="G395" s="4"/>
      <c r="H395" s="4"/>
      <c r="I395" s="1"/>
      <c r="J395" s="1"/>
      <c r="L395" s="1"/>
      <c r="M395" s="3"/>
      <c r="N395" s="3"/>
      <c r="O395" s="3"/>
      <c r="P395" s="3"/>
      <c r="Q395" s="3"/>
      <c r="R395" s="5"/>
      <c r="S395" s="3"/>
      <c r="T395" s="3"/>
      <c r="U395" s="5"/>
      <c r="V395" s="5"/>
      <c r="W395" s="6"/>
      <c r="X395" s="6"/>
      <c r="Y395" s="1"/>
      <c r="Z395" s="1"/>
      <c r="AA395" s="7"/>
      <c r="AB395" s="1"/>
      <c r="AC395" s="207"/>
      <c r="AD395" s="206"/>
    </row>
    <row r="396" spans="1:30" s="2" customFormat="1" x14ac:dyDescent="0.3">
      <c r="A396" s="1"/>
      <c r="B396" s="1"/>
      <c r="D396" s="3"/>
      <c r="E396" s="1"/>
      <c r="F396" s="4"/>
      <c r="G396" s="4"/>
      <c r="H396" s="4"/>
      <c r="I396" s="1"/>
      <c r="J396" s="1"/>
      <c r="L396" s="1"/>
      <c r="M396" s="3"/>
      <c r="N396" s="3"/>
      <c r="O396" s="3"/>
      <c r="P396" s="3"/>
      <c r="Q396" s="3"/>
      <c r="R396" s="5"/>
      <c r="S396" s="3"/>
      <c r="T396" s="3"/>
      <c r="U396" s="5"/>
      <c r="V396" s="5"/>
      <c r="W396" s="6"/>
      <c r="X396" s="6"/>
      <c r="Y396" s="1"/>
      <c r="Z396" s="1"/>
      <c r="AA396" s="7"/>
      <c r="AB396" s="1"/>
      <c r="AC396" s="207"/>
      <c r="AD396" s="206"/>
    </row>
    <row r="397" spans="1:30" s="2" customFormat="1" x14ac:dyDescent="0.3">
      <c r="A397" s="1"/>
      <c r="B397" s="1"/>
      <c r="D397" s="3"/>
      <c r="E397" s="1"/>
      <c r="F397" s="4"/>
      <c r="G397" s="4"/>
      <c r="H397" s="4"/>
      <c r="I397" s="1"/>
      <c r="J397" s="1"/>
      <c r="L397" s="1"/>
      <c r="M397" s="3"/>
      <c r="N397" s="3"/>
      <c r="O397" s="3"/>
      <c r="P397" s="3"/>
      <c r="Q397" s="3"/>
      <c r="R397" s="5"/>
      <c r="S397" s="3"/>
      <c r="T397" s="3"/>
      <c r="U397" s="5"/>
      <c r="V397" s="5"/>
      <c r="W397" s="6"/>
      <c r="X397" s="6"/>
      <c r="Y397" s="1"/>
      <c r="Z397" s="1"/>
      <c r="AA397" s="7"/>
      <c r="AB397" s="1"/>
      <c r="AC397" s="207"/>
      <c r="AD397" s="206"/>
    </row>
    <row r="398" spans="1:30" s="2" customFormat="1" x14ac:dyDescent="0.3">
      <c r="A398" s="1"/>
      <c r="B398" s="1"/>
      <c r="D398" s="3"/>
      <c r="E398" s="1"/>
      <c r="F398" s="4"/>
      <c r="G398" s="4"/>
      <c r="H398" s="4"/>
      <c r="I398" s="1"/>
      <c r="J398" s="1"/>
      <c r="L398" s="1"/>
      <c r="M398" s="3"/>
      <c r="N398" s="3"/>
      <c r="O398" s="3"/>
      <c r="P398" s="3"/>
      <c r="Q398" s="3"/>
      <c r="R398" s="5"/>
      <c r="S398" s="3"/>
      <c r="T398" s="3"/>
      <c r="U398" s="5"/>
      <c r="V398" s="5"/>
      <c r="W398" s="6"/>
      <c r="X398" s="6"/>
      <c r="Y398" s="1"/>
      <c r="Z398" s="1"/>
      <c r="AA398" s="7"/>
      <c r="AB398" s="1"/>
      <c r="AC398" s="207"/>
      <c r="AD398" s="206"/>
    </row>
    <row r="399" spans="1:30" s="2" customFormat="1" x14ac:dyDescent="0.3">
      <c r="A399" s="1"/>
      <c r="B399" s="1"/>
      <c r="D399" s="3"/>
      <c r="E399" s="1"/>
      <c r="F399" s="4"/>
      <c r="G399" s="4"/>
      <c r="H399" s="4"/>
      <c r="I399" s="1"/>
      <c r="J399" s="1"/>
      <c r="L399" s="1"/>
      <c r="M399" s="3"/>
      <c r="N399" s="3"/>
      <c r="O399" s="3"/>
      <c r="P399" s="3"/>
      <c r="Q399" s="3"/>
      <c r="R399" s="5"/>
      <c r="S399" s="3"/>
      <c r="T399" s="3"/>
      <c r="U399" s="5"/>
      <c r="V399" s="5"/>
      <c r="W399" s="6"/>
      <c r="X399" s="6"/>
      <c r="Y399" s="1"/>
      <c r="Z399" s="1"/>
      <c r="AA399" s="7"/>
      <c r="AB399" s="1"/>
      <c r="AC399" s="207"/>
      <c r="AD399" s="206"/>
    </row>
    <row r="400" spans="1:30" s="2" customFormat="1" x14ac:dyDescent="0.3">
      <c r="A400" s="1"/>
      <c r="B400" s="1"/>
      <c r="D400" s="3"/>
      <c r="E400" s="1"/>
      <c r="F400" s="4"/>
      <c r="G400" s="4"/>
      <c r="H400" s="4"/>
      <c r="I400" s="1"/>
      <c r="J400" s="1"/>
      <c r="L400" s="1"/>
      <c r="M400" s="3"/>
      <c r="N400" s="3"/>
      <c r="O400" s="3"/>
      <c r="P400" s="3"/>
      <c r="Q400" s="3"/>
      <c r="R400" s="5"/>
      <c r="S400" s="3"/>
      <c r="T400" s="3"/>
      <c r="U400" s="5"/>
      <c r="V400" s="5"/>
      <c r="W400" s="6"/>
      <c r="X400" s="6"/>
      <c r="Y400" s="1"/>
      <c r="Z400" s="1"/>
      <c r="AA400" s="7"/>
      <c r="AB400" s="1"/>
      <c r="AC400" s="207"/>
      <c r="AD400" s="206"/>
    </row>
    <row r="401" spans="1:30" s="2" customFormat="1" x14ac:dyDescent="0.3">
      <c r="A401" s="1"/>
      <c r="B401" s="1"/>
      <c r="D401" s="3"/>
      <c r="E401" s="1"/>
      <c r="F401" s="4"/>
      <c r="G401" s="4"/>
      <c r="H401" s="4"/>
      <c r="I401" s="1"/>
      <c r="J401" s="1"/>
      <c r="L401" s="1"/>
      <c r="M401" s="3"/>
      <c r="N401" s="3"/>
      <c r="O401" s="3"/>
      <c r="P401" s="3"/>
      <c r="Q401" s="3"/>
      <c r="R401" s="5"/>
      <c r="S401" s="3"/>
      <c r="T401" s="3"/>
      <c r="U401" s="5"/>
      <c r="V401" s="5"/>
      <c r="W401" s="6"/>
      <c r="X401" s="6"/>
      <c r="Y401" s="1"/>
      <c r="Z401" s="1"/>
      <c r="AA401" s="7"/>
      <c r="AB401" s="1"/>
      <c r="AC401" s="207"/>
      <c r="AD401" s="206"/>
    </row>
    <row r="402" spans="1:30" s="2" customFormat="1" x14ac:dyDescent="0.3">
      <c r="A402" s="1"/>
      <c r="B402" s="1"/>
      <c r="D402" s="3"/>
      <c r="E402" s="1"/>
      <c r="F402" s="4"/>
      <c r="G402" s="4"/>
      <c r="H402" s="4"/>
      <c r="I402" s="1"/>
      <c r="J402" s="1"/>
      <c r="L402" s="1"/>
      <c r="M402" s="3"/>
      <c r="N402" s="3"/>
      <c r="O402" s="3"/>
      <c r="P402" s="3"/>
      <c r="Q402" s="3"/>
      <c r="R402" s="5"/>
      <c r="S402" s="3"/>
      <c r="T402" s="3"/>
      <c r="U402" s="5"/>
      <c r="V402" s="5"/>
      <c r="W402" s="6"/>
      <c r="X402" s="6"/>
      <c r="Y402" s="1"/>
      <c r="Z402" s="1"/>
      <c r="AA402" s="7"/>
      <c r="AB402" s="1"/>
      <c r="AC402" s="207"/>
      <c r="AD402" s="206"/>
    </row>
    <row r="403" spans="1:30" s="2" customFormat="1" x14ac:dyDescent="0.3">
      <c r="A403" s="1"/>
      <c r="B403" s="1"/>
      <c r="D403" s="3"/>
      <c r="E403" s="1"/>
      <c r="F403" s="4"/>
      <c r="G403" s="4"/>
      <c r="H403" s="4"/>
      <c r="I403" s="1"/>
      <c r="J403" s="1"/>
      <c r="L403" s="1"/>
      <c r="M403" s="3"/>
      <c r="N403" s="3"/>
      <c r="O403" s="3"/>
      <c r="P403" s="3"/>
      <c r="Q403" s="3"/>
      <c r="R403" s="5"/>
      <c r="S403" s="3"/>
      <c r="T403" s="3"/>
      <c r="U403" s="5"/>
      <c r="V403" s="5"/>
      <c r="W403" s="6"/>
      <c r="X403" s="6"/>
      <c r="Y403" s="1"/>
      <c r="Z403" s="1"/>
      <c r="AA403" s="7"/>
      <c r="AB403" s="1"/>
      <c r="AC403" s="207"/>
      <c r="AD403" s="206"/>
    </row>
    <row r="404" spans="1:30" s="2" customFormat="1" x14ac:dyDescent="0.3">
      <c r="A404" s="1"/>
      <c r="B404" s="1"/>
      <c r="D404" s="3"/>
      <c r="E404" s="1"/>
      <c r="F404" s="4"/>
      <c r="G404" s="4"/>
      <c r="H404" s="4"/>
      <c r="I404" s="1"/>
      <c r="J404" s="1"/>
      <c r="L404" s="1"/>
      <c r="M404" s="3"/>
      <c r="N404" s="3"/>
      <c r="O404" s="3"/>
      <c r="P404" s="3"/>
      <c r="Q404" s="3"/>
      <c r="R404" s="5"/>
      <c r="S404" s="3"/>
      <c r="T404" s="3"/>
      <c r="U404" s="5"/>
      <c r="V404" s="5"/>
      <c r="W404" s="6"/>
      <c r="X404" s="6"/>
      <c r="Y404" s="1"/>
      <c r="Z404" s="1"/>
      <c r="AA404" s="7"/>
      <c r="AB404" s="1"/>
      <c r="AC404" s="207"/>
      <c r="AD404" s="206"/>
    </row>
    <row r="405" spans="1:30" s="2" customFormat="1" x14ac:dyDescent="0.3">
      <c r="A405" s="1"/>
      <c r="B405" s="1"/>
      <c r="D405" s="3"/>
      <c r="E405" s="1"/>
      <c r="F405" s="4"/>
      <c r="G405" s="4"/>
      <c r="H405" s="4"/>
      <c r="I405" s="1"/>
      <c r="J405" s="1"/>
      <c r="L405" s="1"/>
      <c r="M405" s="3"/>
      <c r="N405" s="3"/>
      <c r="O405" s="3"/>
      <c r="P405" s="3"/>
      <c r="Q405" s="3"/>
      <c r="R405" s="5"/>
      <c r="S405" s="3"/>
      <c r="T405" s="3"/>
      <c r="U405" s="5"/>
      <c r="V405" s="5"/>
      <c r="W405" s="6"/>
      <c r="X405" s="6"/>
      <c r="Y405" s="1"/>
      <c r="Z405" s="1"/>
      <c r="AA405" s="7"/>
      <c r="AB405" s="1"/>
      <c r="AC405" s="207"/>
      <c r="AD405" s="206"/>
    </row>
    <row r="406" spans="1:30" s="2" customFormat="1" x14ac:dyDescent="0.3">
      <c r="A406" s="1"/>
      <c r="B406" s="1"/>
      <c r="D406" s="3"/>
      <c r="E406" s="1"/>
      <c r="F406" s="4"/>
      <c r="G406" s="4"/>
      <c r="H406" s="4"/>
      <c r="I406" s="1"/>
      <c r="J406" s="1"/>
      <c r="L406" s="1"/>
      <c r="M406" s="3"/>
      <c r="N406" s="3"/>
      <c r="O406" s="3"/>
      <c r="P406" s="3"/>
      <c r="Q406" s="3"/>
      <c r="R406" s="5"/>
      <c r="S406" s="3"/>
      <c r="T406" s="3"/>
      <c r="U406" s="5"/>
      <c r="V406" s="5"/>
      <c r="W406" s="6"/>
      <c r="X406" s="6"/>
      <c r="Y406" s="1"/>
      <c r="Z406" s="1"/>
      <c r="AA406" s="7"/>
      <c r="AB406" s="1"/>
      <c r="AC406" s="207"/>
      <c r="AD406" s="206"/>
    </row>
    <row r="407" spans="1:30" s="2" customFormat="1" x14ac:dyDescent="0.3">
      <c r="A407" s="1"/>
      <c r="B407" s="1"/>
      <c r="D407" s="3"/>
      <c r="E407" s="1"/>
      <c r="F407" s="4"/>
      <c r="G407" s="4"/>
      <c r="H407" s="4"/>
      <c r="I407" s="1"/>
      <c r="J407" s="1"/>
      <c r="L407" s="1"/>
      <c r="M407" s="3"/>
      <c r="N407" s="3"/>
      <c r="O407" s="3"/>
      <c r="P407" s="3"/>
      <c r="Q407" s="3"/>
      <c r="R407" s="5"/>
      <c r="S407" s="3"/>
      <c r="T407" s="3"/>
      <c r="U407" s="5"/>
      <c r="V407" s="5"/>
      <c r="W407" s="6"/>
      <c r="X407" s="6"/>
      <c r="Y407" s="1"/>
      <c r="Z407" s="1"/>
      <c r="AA407" s="7"/>
      <c r="AB407" s="1"/>
      <c r="AC407" s="207"/>
      <c r="AD407" s="206"/>
    </row>
    <row r="408" spans="1:30" s="2" customFormat="1" x14ac:dyDescent="0.3">
      <c r="A408" s="1"/>
      <c r="B408" s="1"/>
      <c r="D408" s="3"/>
      <c r="E408" s="1"/>
      <c r="F408" s="4"/>
      <c r="G408" s="4"/>
      <c r="H408" s="4"/>
      <c r="I408" s="1"/>
      <c r="J408" s="1"/>
      <c r="L408" s="1"/>
      <c r="M408" s="3"/>
      <c r="N408" s="3"/>
      <c r="O408" s="3"/>
      <c r="P408" s="3"/>
      <c r="Q408" s="3"/>
      <c r="R408" s="5"/>
      <c r="S408" s="3"/>
      <c r="T408" s="3"/>
      <c r="U408" s="5"/>
      <c r="V408" s="5"/>
      <c r="W408" s="6"/>
      <c r="X408" s="6"/>
      <c r="Y408" s="1"/>
      <c r="Z408" s="1"/>
      <c r="AA408" s="7"/>
      <c r="AB408" s="1"/>
      <c r="AC408" s="207"/>
      <c r="AD408" s="206"/>
    </row>
    <row r="409" spans="1:30" s="2" customFormat="1" x14ac:dyDescent="0.3">
      <c r="A409" s="1"/>
      <c r="B409" s="1"/>
      <c r="D409" s="3"/>
      <c r="E409" s="1"/>
      <c r="F409" s="4"/>
      <c r="G409" s="4"/>
      <c r="H409" s="4"/>
      <c r="I409" s="1"/>
      <c r="J409" s="1"/>
      <c r="L409" s="1"/>
      <c r="M409" s="3"/>
      <c r="N409" s="3"/>
      <c r="O409" s="3"/>
      <c r="P409" s="3"/>
      <c r="Q409" s="3"/>
      <c r="R409" s="5"/>
      <c r="S409" s="3"/>
      <c r="T409" s="3"/>
      <c r="U409" s="5"/>
      <c r="V409" s="5"/>
      <c r="W409" s="6"/>
      <c r="X409" s="6"/>
      <c r="Y409" s="1"/>
      <c r="Z409" s="1"/>
      <c r="AA409" s="7"/>
      <c r="AB409" s="1"/>
      <c r="AC409" s="207"/>
      <c r="AD409" s="206"/>
    </row>
    <row r="410" spans="1:30" s="2" customFormat="1" x14ac:dyDescent="0.3">
      <c r="A410" s="1"/>
      <c r="B410" s="1"/>
      <c r="D410" s="3"/>
      <c r="E410" s="1"/>
      <c r="F410" s="4"/>
      <c r="G410" s="4"/>
      <c r="H410" s="4"/>
      <c r="I410" s="1"/>
      <c r="J410" s="1"/>
      <c r="L410" s="1"/>
      <c r="M410" s="3"/>
      <c r="N410" s="3"/>
      <c r="O410" s="3"/>
      <c r="P410" s="3"/>
      <c r="Q410" s="3"/>
      <c r="R410" s="5"/>
      <c r="S410" s="3"/>
      <c r="T410" s="3"/>
      <c r="U410" s="5"/>
      <c r="V410" s="5"/>
      <c r="W410" s="6"/>
      <c r="X410" s="6"/>
      <c r="Y410" s="1"/>
      <c r="Z410" s="1"/>
      <c r="AA410" s="7"/>
      <c r="AB410" s="1"/>
      <c r="AC410" s="207"/>
      <c r="AD410" s="206"/>
    </row>
    <row r="411" spans="1:30" s="2" customFormat="1" x14ac:dyDescent="0.3">
      <c r="A411" s="1"/>
      <c r="B411" s="1"/>
      <c r="D411" s="3"/>
      <c r="E411" s="1"/>
      <c r="F411" s="4"/>
      <c r="G411" s="4"/>
      <c r="H411" s="4"/>
      <c r="I411" s="1"/>
      <c r="J411" s="1"/>
      <c r="L411" s="1"/>
      <c r="M411" s="3"/>
      <c r="N411" s="3"/>
      <c r="O411" s="3"/>
      <c r="P411" s="3"/>
      <c r="Q411" s="3"/>
      <c r="R411" s="5"/>
      <c r="S411" s="3"/>
      <c r="T411" s="3"/>
      <c r="U411" s="5"/>
      <c r="V411" s="5"/>
      <c r="W411" s="6"/>
      <c r="X411" s="6"/>
      <c r="Y411" s="1"/>
      <c r="Z411" s="1"/>
      <c r="AA411" s="7"/>
      <c r="AB411" s="1"/>
      <c r="AC411" s="207"/>
      <c r="AD411" s="206"/>
    </row>
    <row r="412" spans="1:30" s="2" customFormat="1" x14ac:dyDescent="0.3">
      <c r="A412" s="1"/>
      <c r="B412" s="1"/>
      <c r="D412" s="3"/>
      <c r="E412" s="1"/>
      <c r="F412" s="4"/>
      <c r="G412" s="4"/>
      <c r="H412" s="4"/>
      <c r="I412" s="1"/>
      <c r="J412" s="1"/>
      <c r="L412" s="1"/>
      <c r="M412" s="3"/>
      <c r="N412" s="3"/>
      <c r="O412" s="3"/>
      <c r="P412" s="3"/>
      <c r="Q412" s="3"/>
      <c r="R412" s="5"/>
      <c r="S412" s="3"/>
      <c r="T412" s="3"/>
      <c r="U412" s="5"/>
      <c r="V412" s="5"/>
      <c r="W412" s="6"/>
      <c r="X412" s="6"/>
      <c r="Y412" s="1"/>
      <c r="Z412" s="1"/>
      <c r="AA412" s="7"/>
      <c r="AB412" s="1"/>
      <c r="AC412" s="207"/>
      <c r="AD412" s="206"/>
    </row>
    <row r="413" spans="1:30" s="2" customFormat="1" x14ac:dyDescent="0.3">
      <c r="A413" s="1"/>
      <c r="B413" s="1"/>
      <c r="D413" s="3"/>
      <c r="E413" s="1"/>
      <c r="F413" s="4"/>
      <c r="G413" s="4"/>
      <c r="H413" s="4"/>
      <c r="I413" s="1"/>
      <c r="J413" s="1"/>
      <c r="L413" s="1"/>
      <c r="M413" s="3"/>
      <c r="N413" s="3"/>
      <c r="O413" s="3"/>
      <c r="P413" s="3"/>
      <c r="Q413" s="3"/>
      <c r="R413" s="5"/>
      <c r="S413" s="3"/>
      <c r="T413" s="3"/>
      <c r="U413" s="5"/>
      <c r="V413" s="5"/>
      <c r="W413" s="6"/>
      <c r="X413" s="6"/>
      <c r="Y413" s="1"/>
      <c r="Z413" s="1"/>
      <c r="AA413" s="7"/>
      <c r="AB413" s="1"/>
      <c r="AC413" s="207"/>
      <c r="AD413" s="206"/>
    </row>
    <row r="414" spans="1:30" s="2" customFormat="1" x14ac:dyDescent="0.3">
      <c r="A414" s="1"/>
      <c r="B414" s="1"/>
      <c r="D414" s="3"/>
      <c r="E414" s="1"/>
      <c r="F414" s="4"/>
      <c r="G414" s="4"/>
      <c r="H414" s="4"/>
      <c r="I414" s="1"/>
      <c r="J414" s="1"/>
      <c r="L414" s="1"/>
      <c r="M414" s="3"/>
      <c r="N414" s="3"/>
      <c r="O414" s="3"/>
      <c r="P414" s="3"/>
      <c r="Q414" s="3"/>
      <c r="R414" s="5"/>
      <c r="S414" s="3"/>
      <c r="T414" s="3"/>
      <c r="U414" s="5"/>
      <c r="V414" s="5"/>
      <c r="W414" s="6"/>
      <c r="X414" s="6"/>
      <c r="Y414" s="1"/>
      <c r="Z414" s="1"/>
      <c r="AA414" s="7"/>
      <c r="AB414" s="1"/>
      <c r="AC414" s="207"/>
      <c r="AD414" s="206"/>
    </row>
    <row r="415" spans="1:30" s="2" customFormat="1" x14ac:dyDescent="0.3">
      <c r="A415" s="1"/>
      <c r="B415" s="1"/>
      <c r="D415" s="3"/>
      <c r="E415" s="1"/>
      <c r="F415" s="4"/>
      <c r="G415" s="4"/>
      <c r="H415" s="4"/>
      <c r="I415" s="1"/>
      <c r="J415" s="1"/>
      <c r="L415" s="1"/>
      <c r="M415" s="3"/>
      <c r="N415" s="3"/>
      <c r="O415" s="3"/>
      <c r="P415" s="3"/>
      <c r="Q415" s="3"/>
      <c r="R415" s="5"/>
      <c r="S415" s="3"/>
      <c r="T415" s="3"/>
      <c r="U415" s="5"/>
      <c r="V415" s="5"/>
      <c r="W415" s="6"/>
      <c r="X415" s="6"/>
      <c r="Y415" s="1"/>
      <c r="Z415" s="1"/>
      <c r="AA415" s="7"/>
      <c r="AB415" s="1"/>
      <c r="AC415" s="207"/>
      <c r="AD415" s="206"/>
    </row>
    <row r="416" spans="1:30" s="2" customFormat="1" x14ac:dyDescent="0.3">
      <c r="A416" s="1"/>
      <c r="B416" s="1"/>
      <c r="D416" s="3"/>
      <c r="E416" s="1"/>
      <c r="F416" s="4"/>
      <c r="G416" s="4"/>
      <c r="H416" s="4"/>
      <c r="I416" s="1"/>
      <c r="J416" s="1"/>
      <c r="L416" s="1"/>
      <c r="M416" s="3"/>
      <c r="N416" s="3"/>
      <c r="O416" s="3"/>
      <c r="P416" s="3"/>
      <c r="Q416" s="3"/>
      <c r="R416" s="5"/>
      <c r="S416" s="3"/>
      <c r="T416" s="3"/>
      <c r="U416" s="5"/>
      <c r="V416" s="5"/>
      <c r="W416" s="6"/>
      <c r="X416" s="6"/>
      <c r="Y416" s="1"/>
      <c r="Z416" s="1"/>
      <c r="AA416" s="7"/>
      <c r="AB416" s="1"/>
      <c r="AC416" s="207"/>
      <c r="AD416" s="206"/>
    </row>
    <row r="417" spans="1:30" s="2" customFormat="1" x14ac:dyDescent="0.3">
      <c r="A417" s="1"/>
      <c r="B417" s="1"/>
      <c r="D417" s="3"/>
      <c r="E417" s="1"/>
      <c r="F417" s="4"/>
      <c r="G417" s="4"/>
      <c r="H417" s="4"/>
      <c r="I417" s="1"/>
      <c r="J417" s="1"/>
      <c r="L417" s="1"/>
      <c r="M417" s="3"/>
      <c r="N417" s="3"/>
      <c r="O417" s="3"/>
      <c r="P417" s="3"/>
      <c r="Q417" s="3"/>
      <c r="R417" s="5"/>
      <c r="S417" s="3"/>
      <c r="T417" s="3"/>
      <c r="U417" s="5"/>
      <c r="V417" s="5"/>
      <c r="W417" s="6"/>
      <c r="X417" s="6"/>
      <c r="Y417" s="1"/>
      <c r="Z417" s="1"/>
      <c r="AA417" s="7"/>
      <c r="AB417" s="1"/>
      <c r="AC417" s="207"/>
      <c r="AD417" s="206"/>
    </row>
    <row r="418" spans="1:30" s="2" customFormat="1" x14ac:dyDescent="0.3">
      <c r="A418" s="1"/>
      <c r="B418" s="1"/>
      <c r="D418" s="3"/>
      <c r="E418" s="1"/>
      <c r="F418" s="4"/>
      <c r="G418" s="4"/>
      <c r="H418" s="4"/>
      <c r="I418" s="1"/>
      <c r="J418" s="1"/>
      <c r="L418" s="1"/>
      <c r="M418" s="3"/>
      <c r="N418" s="3"/>
      <c r="O418" s="3"/>
      <c r="P418" s="3"/>
      <c r="Q418" s="3"/>
      <c r="R418" s="5"/>
      <c r="S418" s="3"/>
      <c r="T418" s="3"/>
      <c r="U418" s="5"/>
      <c r="V418" s="5"/>
      <c r="W418" s="6"/>
      <c r="X418" s="6"/>
      <c r="Y418" s="1"/>
      <c r="Z418" s="1"/>
      <c r="AA418" s="7"/>
      <c r="AB418" s="1"/>
      <c r="AC418" s="207"/>
      <c r="AD418" s="206"/>
    </row>
    <row r="419" spans="1:30" s="2" customFormat="1" x14ac:dyDescent="0.3">
      <c r="A419" s="1"/>
      <c r="B419" s="1"/>
      <c r="D419" s="3"/>
      <c r="E419" s="1"/>
      <c r="F419" s="4"/>
      <c r="G419" s="4"/>
      <c r="H419" s="4"/>
      <c r="I419" s="1"/>
      <c r="J419" s="1"/>
      <c r="L419" s="1"/>
      <c r="M419" s="3"/>
      <c r="N419" s="3"/>
      <c r="O419" s="3"/>
      <c r="P419" s="3"/>
      <c r="Q419" s="3"/>
      <c r="R419" s="5"/>
      <c r="S419" s="3"/>
      <c r="T419" s="3"/>
      <c r="U419" s="5"/>
      <c r="V419" s="5"/>
      <c r="W419" s="6"/>
      <c r="X419" s="6"/>
      <c r="Y419" s="1"/>
      <c r="Z419" s="1"/>
      <c r="AA419" s="7"/>
      <c r="AB419" s="1"/>
      <c r="AC419" s="207"/>
      <c r="AD419" s="206"/>
    </row>
    <row r="420" spans="1:30" s="2" customFormat="1" x14ac:dyDescent="0.3">
      <c r="A420" s="1"/>
      <c r="B420" s="1"/>
      <c r="D420" s="3"/>
      <c r="E420" s="1"/>
      <c r="F420" s="4"/>
      <c r="G420" s="4"/>
      <c r="H420" s="4"/>
      <c r="I420" s="1"/>
      <c r="J420" s="1"/>
      <c r="L420" s="1"/>
      <c r="M420" s="3"/>
      <c r="N420" s="3"/>
      <c r="O420" s="3"/>
      <c r="P420" s="3"/>
      <c r="Q420" s="3"/>
      <c r="R420" s="5"/>
      <c r="S420" s="3"/>
      <c r="T420" s="3"/>
      <c r="U420" s="5"/>
      <c r="V420" s="5"/>
      <c r="W420" s="6"/>
      <c r="X420" s="6"/>
      <c r="Y420" s="1"/>
      <c r="Z420" s="1"/>
      <c r="AA420" s="7"/>
      <c r="AB420" s="1"/>
      <c r="AC420" s="207"/>
      <c r="AD420" s="206"/>
    </row>
    <row r="421" spans="1:30" s="2" customFormat="1" x14ac:dyDescent="0.3">
      <c r="A421" s="1"/>
      <c r="B421" s="1"/>
      <c r="D421" s="3"/>
      <c r="E421" s="1"/>
      <c r="F421" s="4"/>
      <c r="G421" s="4"/>
      <c r="H421" s="4"/>
      <c r="I421" s="1"/>
      <c r="J421" s="1"/>
      <c r="L421" s="1"/>
      <c r="M421" s="3"/>
      <c r="N421" s="3"/>
      <c r="O421" s="3"/>
      <c r="P421" s="3"/>
      <c r="Q421" s="3"/>
      <c r="R421" s="5"/>
      <c r="S421" s="3"/>
      <c r="T421" s="3"/>
      <c r="U421" s="5"/>
      <c r="V421" s="5"/>
      <c r="W421" s="6"/>
      <c r="X421" s="6"/>
      <c r="Y421" s="1"/>
      <c r="Z421" s="1"/>
      <c r="AA421" s="7"/>
      <c r="AB421" s="1"/>
      <c r="AC421" s="207"/>
      <c r="AD421" s="206"/>
    </row>
    <row r="422" spans="1:30" s="2" customFormat="1" x14ac:dyDescent="0.3">
      <c r="A422" s="1"/>
      <c r="B422" s="1"/>
      <c r="D422" s="3"/>
      <c r="E422" s="1"/>
      <c r="F422" s="4"/>
      <c r="G422" s="4"/>
      <c r="H422" s="4"/>
      <c r="I422" s="1"/>
      <c r="J422" s="1"/>
      <c r="L422" s="1"/>
      <c r="M422" s="3"/>
      <c r="N422" s="3"/>
      <c r="O422" s="3"/>
      <c r="P422" s="3"/>
      <c r="Q422" s="3"/>
      <c r="R422" s="5"/>
      <c r="S422" s="3"/>
      <c r="T422" s="3"/>
      <c r="U422" s="5"/>
      <c r="V422" s="5"/>
      <c r="W422" s="6"/>
      <c r="X422" s="6"/>
      <c r="Y422" s="1"/>
      <c r="Z422" s="1"/>
      <c r="AA422" s="7"/>
      <c r="AB422" s="1"/>
      <c r="AC422" s="207"/>
      <c r="AD422" s="206"/>
    </row>
    <row r="423" spans="1:30" s="2" customFormat="1" x14ac:dyDescent="0.3">
      <c r="A423" s="1"/>
      <c r="B423" s="1"/>
      <c r="D423" s="3"/>
      <c r="E423" s="1"/>
      <c r="F423" s="4"/>
      <c r="G423" s="4"/>
      <c r="H423" s="4"/>
      <c r="I423" s="1"/>
      <c r="J423" s="1"/>
      <c r="L423" s="1"/>
      <c r="M423" s="3"/>
      <c r="N423" s="3"/>
      <c r="O423" s="3"/>
      <c r="P423" s="3"/>
      <c r="Q423" s="3"/>
      <c r="R423" s="5"/>
      <c r="S423" s="3"/>
      <c r="T423" s="3"/>
      <c r="U423" s="5"/>
      <c r="V423" s="5"/>
      <c r="W423" s="6"/>
      <c r="X423" s="6"/>
      <c r="Y423" s="1"/>
      <c r="Z423" s="1"/>
      <c r="AA423" s="7"/>
      <c r="AB423" s="1"/>
      <c r="AC423" s="207"/>
      <c r="AD423" s="206"/>
    </row>
    <row r="424" spans="1:30" s="2" customFormat="1" x14ac:dyDescent="0.3">
      <c r="A424" s="1"/>
      <c r="B424" s="1"/>
      <c r="D424" s="3"/>
      <c r="E424" s="1"/>
      <c r="F424" s="4"/>
      <c r="G424" s="4"/>
      <c r="H424" s="4"/>
      <c r="I424" s="1"/>
      <c r="J424" s="1"/>
      <c r="L424" s="1"/>
      <c r="M424" s="3"/>
      <c r="N424" s="3"/>
      <c r="O424" s="3"/>
      <c r="P424" s="3"/>
      <c r="Q424" s="3"/>
      <c r="R424" s="5"/>
      <c r="S424" s="3"/>
      <c r="T424" s="3"/>
      <c r="U424" s="5"/>
      <c r="V424" s="5"/>
      <c r="W424" s="6"/>
      <c r="X424" s="6"/>
      <c r="Y424" s="1"/>
      <c r="Z424" s="1"/>
      <c r="AA424" s="7"/>
      <c r="AB424" s="1"/>
      <c r="AC424" s="207"/>
      <c r="AD424" s="206"/>
    </row>
    <row r="425" spans="1:30" s="2" customFormat="1" x14ac:dyDescent="0.3">
      <c r="A425" s="1"/>
      <c r="B425" s="1"/>
      <c r="D425" s="3"/>
      <c r="E425" s="1"/>
      <c r="F425" s="4"/>
      <c r="G425" s="4"/>
      <c r="H425" s="4"/>
      <c r="I425" s="1"/>
      <c r="J425" s="1"/>
      <c r="L425" s="1"/>
      <c r="M425" s="3"/>
      <c r="N425" s="3"/>
      <c r="O425" s="3"/>
      <c r="P425" s="3"/>
      <c r="Q425" s="3"/>
      <c r="R425" s="5"/>
      <c r="S425" s="3"/>
      <c r="T425" s="3"/>
      <c r="U425" s="5"/>
      <c r="V425" s="5"/>
      <c r="W425" s="6"/>
      <c r="X425" s="6"/>
      <c r="Y425" s="1"/>
      <c r="Z425" s="1"/>
      <c r="AA425" s="7"/>
      <c r="AB425" s="1"/>
      <c r="AC425" s="207"/>
      <c r="AD425" s="206"/>
    </row>
    <row r="426" spans="1:30" s="2" customFormat="1" x14ac:dyDescent="0.3">
      <c r="A426" s="1"/>
      <c r="B426" s="1"/>
      <c r="D426" s="3"/>
      <c r="E426" s="1"/>
      <c r="F426" s="4"/>
      <c r="G426" s="4"/>
      <c r="H426" s="4"/>
      <c r="I426" s="1"/>
      <c r="J426" s="1"/>
      <c r="L426" s="1"/>
      <c r="M426" s="3"/>
      <c r="N426" s="3"/>
      <c r="O426" s="3"/>
      <c r="P426" s="3"/>
      <c r="Q426" s="3"/>
      <c r="R426" s="5"/>
      <c r="S426" s="3"/>
      <c r="T426" s="3"/>
      <c r="U426" s="5"/>
      <c r="V426" s="5"/>
      <c r="W426" s="6"/>
      <c r="X426" s="6"/>
      <c r="Y426" s="1"/>
      <c r="Z426" s="1"/>
      <c r="AA426" s="7"/>
      <c r="AB426" s="1"/>
      <c r="AC426" s="207"/>
      <c r="AD426" s="206"/>
    </row>
    <row r="427" spans="1:30" s="2" customFormat="1" x14ac:dyDescent="0.3">
      <c r="A427" s="1"/>
      <c r="B427" s="1"/>
      <c r="D427" s="3"/>
      <c r="E427" s="1"/>
      <c r="F427" s="4"/>
      <c r="G427" s="4"/>
      <c r="H427" s="4"/>
      <c r="I427" s="1"/>
      <c r="J427" s="1"/>
      <c r="L427" s="1"/>
      <c r="M427" s="3"/>
      <c r="N427" s="3"/>
      <c r="O427" s="3"/>
      <c r="P427" s="3"/>
      <c r="Q427" s="3"/>
      <c r="R427" s="5"/>
      <c r="S427" s="3"/>
      <c r="T427" s="3"/>
      <c r="U427" s="5"/>
      <c r="V427" s="5"/>
      <c r="W427" s="6"/>
      <c r="X427" s="6"/>
      <c r="Y427" s="1"/>
      <c r="Z427" s="1"/>
      <c r="AA427" s="7"/>
      <c r="AB427" s="1"/>
      <c r="AC427" s="207"/>
      <c r="AD427" s="206"/>
    </row>
    <row r="428" spans="1:30" s="2" customFormat="1" x14ac:dyDescent="0.3">
      <c r="A428" s="1"/>
      <c r="B428" s="1"/>
      <c r="D428" s="3"/>
      <c r="E428" s="1"/>
      <c r="F428" s="4"/>
      <c r="G428" s="4"/>
      <c r="H428" s="4"/>
      <c r="I428" s="1"/>
      <c r="J428" s="1"/>
      <c r="L428" s="1"/>
      <c r="M428" s="3"/>
      <c r="N428" s="3"/>
      <c r="O428" s="3"/>
      <c r="P428" s="3"/>
      <c r="Q428" s="3"/>
      <c r="R428" s="5"/>
      <c r="S428" s="3"/>
      <c r="T428" s="3"/>
      <c r="U428" s="5"/>
      <c r="V428" s="5"/>
      <c r="W428" s="6"/>
      <c r="X428" s="6"/>
      <c r="Y428" s="1"/>
      <c r="Z428" s="1"/>
      <c r="AA428" s="7"/>
      <c r="AB428" s="1"/>
      <c r="AC428" s="207"/>
      <c r="AD428" s="206"/>
    </row>
    <row r="429" spans="1:30" s="2" customFormat="1" x14ac:dyDescent="0.3">
      <c r="A429" s="1"/>
      <c r="B429" s="1"/>
      <c r="D429" s="3"/>
      <c r="E429" s="1"/>
      <c r="F429" s="4"/>
      <c r="G429" s="4"/>
      <c r="H429" s="4"/>
      <c r="I429" s="1"/>
      <c r="J429" s="1"/>
      <c r="L429" s="1"/>
      <c r="M429" s="3"/>
      <c r="N429" s="3"/>
      <c r="O429" s="3"/>
      <c r="P429" s="3"/>
      <c r="Q429" s="3"/>
      <c r="R429" s="5"/>
      <c r="S429" s="3"/>
      <c r="T429" s="3"/>
      <c r="U429" s="5"/>
      <c r="V429" s="5"/>
      <c r="W429" s="6"/>
      <c r="X429" s="6"/>
      <c r="Y429" s="1"/>
      <c r="Z429" s="1"/>
      <c r="AA429" s="7"/>
      <c r="AB429" s="1"/>
      <c r="AC429" s="207"/>
      <c r="AD429" s="206"/>
    </row>
    <row r="430" spans="1:30" s="2" customFormat="1" x14ac:dyDescent="0.3">
      <c r="A430" s="1"/>
      <c r="B430" s="1"/>
      <c r="D430" s="3"/>
      <c r="E430" s="1"/>
      <c r="F430" s="4"/>
      <c r="G430" s="4"/>
      <c r="H430" s="4"/>
      <c r="I430" s="1"/>
      <c r="J430" s="1"/>
      <c r="L430" s="1"/>
      <c r="M430" s="3"/>
      <c r="N430" s="3"/>
      <c r="O430" s="3"/>
      <c r="P430" s="3"/>
      <c r="Q430" s="3"/>
      <c r="R430" s="5"/>
      <c r="S430" s="3"/>
      <c r="T430" s="3"/>
      <c r="U430" s="5"/>
      <c r="V430" s="5"/>
      <c r="W430" s="6"/>
      <c r="X430" s="6"/>
      <c r="Y430" s="1"/>
      <c r="Z430" s="1"/>
      <c r="AA430" s="7"/>
      <c r="AB430" s="1"/>
      <c r="AC430" s="207"/>
      <c r="AD430" s="206"/>
    </row>
    <row r="431" spans="1:30" s="2" customFormat="1" x14ac:dyDescent="0.3">
      <c r="A431" s="1"/>
      <c r="B431" s="1"/>
      <c r="D431" s="3"/>
      <c r="E431" s="1"/>
      <c r="F431" s="4"/>
      <c r="G431" s="4"/>
      <c r="H431" s="4"/>
      <c r="I431" s="1"/>
      <c r="J431" s="1"/>
      <c r="L431" s="1"/>
      <c r="M431" s="3"/>
      <c r="N431" s="3"/>
      <c r="O431" s="3"/>
      <c r="P431" s="3"/>
      <c r="Q431" s="3"/>
      <c r="R431" s="5"/>
      <c r="S431" s="3"/>
      <c r="T431" s="3"/>
      <c r="U431" s="5"/>
      <c r="V431" s="5"/>
      <c r="W431" s="6"/>
      <c r="X431" s="6"/>
      <c r="Y431" s="1"/>
      <c r="Z431" s="1"/>
      <c r="AA431" s="7"/>
      <c r="AB431" s="1"/>
      <c r="AC431" s="207"/>
      <c r="AD431" s="206"/>
    </row>
    <row r="432" spans="1:30" s="2" customFormat="1" x14ac:dyDescent="0.3">
      <c r="A432" s="1"/>
      <c r="B432" s="1"/>
      <c r="D432" s="3"/>
      <c r="E432" s="1"/>
      <c r="F432" s="4"/>
      <c r="G432" s="4"/>
      <c r="H432" s="4"/>
      <c r="I432" s="1"/>
      <c r="J432" s="1"/>
      <c r="L432" s="1"/>
      <c r="M432" s="3"/>
      <c r="N432" s="3"/>
      <c r="O432" s="3"/>
      <c r="P432" s="3"/>
      <c r="Q432" s="3"/>
      <c r="R432" s="5"/>
      <c r="S432" s="3"/>
      <c r="T432" s="3"/>
      <c r="U432" s="5"/>
      <c r="V432" s="5"/>
      <c r="W432" s="6"/>
      <c r="X432" s="6"/>
      <c r="Y432" s="1"/>
      <c r="Z432" s="1"/>
      <c r="AA432" s="7"/>
      <c r="AB432" s="1"/>
      <c r="AC432" s="207"/>
      <c r="AD432" s="206"/>
    </row>
    <row r="433" spans="1:30" s="2" customFormat="1" x14ac:dyDescent="0.3">
      <c r="A433" s="1"/>
      <c r="B433" s="1"/>
      <c r="D433" s="3"/>
      <c r="E433" s="1"/>
      <c r="F433" s="4"/>
      <c r="G433" s="4"/>
      <c r="H433" s="4"/>
      <c r="I433" s="1"/>
      <c r="J433" s="1"/>
      <c r="L433" s="1"/>
      <c r="M433" s="3"/>
      <c r="N433" s="3"/>
      <c r="O433" s="3"/>
      <c r="P433" s="3"/>
      <c r="Q433" s="3"/>
      <c r="R433" s="5"/>
      <c r="S433" s="3"/>
      <c r="T433" s="3"/>
      <c r="U433" s="5"/>
      <c r="V433" s="5"/>
      <c r="W433" s="6"/>
      <c r="X433" s="6"/>
      <c r="Y433" s="1"/>
      <c r="Z433" s="1"/>
      <c r="AA433" s="7"/>
      <c r="AB433" s="1"/>
      <c r="AC433" s="207"/>
      <c r="AD433" s="206"/>
    </row>
    <row r="434" spans="1:30" s="2" customFormat="1" x14ac:dyDescent="0.3">
      <c r="A434" s="1"/>
      <c r="B434" s="1"/>
      <c r="D434" s="3"/>
      <c r="E434" s="1"/>
      <c r="F434" s="4"/>
      <c r="G434" s="4"/>
      <c r="H434" s="4"/>
      <c r="I434" s="1"/>
      <c r="J434" s="1"/>
      <c r="L434" s="1"/>
      <c r="M434" s="3"/>
      <c r="N434" s="3"/>
      <c r="O434" s="3"/>
      <c r="P434" s="3"/>
      <c r="Q434" s="3"/>
      <c r="R434" s="5"/>
      <c r="S434" s="3"/>
      <c r="T434" s="3"/>
      <c r="U434" s="5"/>
      <c r="V434" s="5"/>
      <c r="W434" s="6"/>
      <c r="X434" s="6"/>
      <c r="Y434" s="1"/>
      <c r="Z434" s="1"/>
      <c r="AA434" s="7"/>
      <c r="AB434" s="1"/>
      <c r="AC434" s="207"/>
      <c r="AD434" s="206"/>
    </row>
    <row r="435" spans="1:30" s="2" customFormat="1" x14ac:dyDescent="0.3">
      <c r="A435" s="1"/>
      <c r="B435" s="1"/>
      <c r="D435" s="3"/>
      <c r="E435" s="1"/>
      <c r="F435" s="4"/>
      <c r="G435" s="4"/>
      <c r="H435" s="4"/>
      <c r="I435" s="1"/>
      <c r="J435" s="1"/>
      <c r="L435" s="1"/>
      <c r="M435" s="3"/>
      <c r="N435" s="3"/>
      <c r="O435" s="3"/>
      <c r="P435" s="3"/>
      <c r="Q435" s="3"/>
      <c r="R435" s="5"/>
      <c r="S435" s="3"/>
      <c r="T435" s="3"/>
      <c r="U435" s="5"/>
      <c r="V435" s="5"/>
      <c r="W435" s="6"/>
      <c r="X435" s="6"/>
      <c r="Y435" s="1"/>
      <c r="Z435" s="1"/>
      <c r="AA435" s="7"/>
      <c r="AB435" s="1"/>
      <c r="AC435" s="207"/>
      <c r="AD435" s="206"/>
    </row>
    <row r="436" spans="1:30" s="2" customFormat="1" x14ac:dyDescent="0.3">
      <c r="A436" s="1"/>
      <c r="B436" s="1"/>
      <c r="D436" s="3"/>
      <c r="E436" s="1"/>
      <c r="F436" s="4"/>
      <c r="G436" s="4"/>
      <c r="H436" s="4"/>
      <c r="I436" s="1"/>
      <c r="J436" s="1"/>
      <c r="L436" s="1"/>
      <c r="M436" s="3"/>
      <c r="N436" s="3"/>
      <c r="O436" s="3"/>
      <c r="P436" s="3"/>
      <c r="Q436" s="3"/>
      <c r="R436" s="5"/>
      <c r="S436" s="3"/>
      <c r="T436" s="3"/>
      <c r="U436" s="5"/>
      <c r="V436" s="5"/>
      <c r="W436" s="6"/>
      <c r="X436" s="6"/>
      <c r="Y436" s="1"/>
      <c r="Z436" s="1"/>
      <c r="AA436" s="7"/>
      <c r="AB436" s="1"/>
      <c r="AC436" s="207"/>
      <c r="AD436" s="206"/>
    </row>
    <row r="437" spans="1:30" s="2" customFormat="1" x14ac:dyDescent="0.3">
      <c r="A437" s="1"/>
      <c r="B437" s="1"/>
      <c r="D437" s="3"/>
      <c r="E437" s="1"/>
      <c r="F437" s="4"/>
      <c r="G437" s="4"/>
      <c r="H437" s="4"/>
      <c r="I437" s="1"/>
      <c r="J437" s="1"/>
      <c r="L437" s="1"/>
      <c r="M437" s="3"/>
      <c r="N437" s="3"/>
      <c r="O437" s="3"/>
      <c r="P437" s="3"/>
      <c r="Q437" s="3"/>
      <c r="R437" s="5"/>
      <c r="S437" s="3"/>
      <c r="T437" s="3"/>
      <c r="U437" s="5"/>
      <c r="V437" s="5"/>
      <c r="W437" s="6"/>
      <c r="X437" s="6"/>
      <c r="Y437" s="1"/>
      <c r="Z437" s="1"/>
      <c r="AA437" s="7"/>
      <c r="AB437" s="1"/>
      <c r="AC437" s="207"/>
      <c r="AD437" s="206"/>
    </row>
    <row r="438" spans="1:30" s="2" customFormat="1" x14ac:dyDescent="0.3">
      <c r="A438" s="1"/>
      <c r="B438" s="1"/>
      <c r="D438" s="3"/>
      <c r="E438" s="1"/>
      <c r="F438" s="4"/>
      <c r="G438" s="4"/>
      <c r="H438" s="4"/>
      <c r="I438" s="1"/>
      <c r="J438" s="1"/>
      <c r="L438" s="1"/>
      <c r="M438" s="3"/>
      <c r="N438" s="3"/>
      <c r="O438" s="3"/>
      <c r="P438" s="3"/>
      <c r="Q438" s="3"/>
      <c r="R438" s="5"/>
      <c r="S438" s="3"/>
      <c r="T438" s="3"/>
      <c r="U438" s="5"/>
      <c r="V438" s="5"/>
      <c r="W438" s="6"/>
      <c r="X438" s="6"/>
      <c r="Y438" s="1"/>
      <c r="Z438" s="1"/>
      <c r="AA438" s="7"/>
      <c r="AB438" s="1"/>
      <c r="AC438" s="207"/>
      <c r="AD438" s="206"/>
    </row>
    <row r="439" spans="1:30" s="2" customFormat="1" x14ac:dyDescent="0.3">
      <c r="A439" s="1"/>
      <c r="B439" s="1"/>
      <c r="D439" s="3"/>
      <c r="E439" s="1"/>
      <c r="F439" s="4"/>
      <c r="G439" s="4"/>
      <c r="H439" s="4"/>
      <c r="I439" s="1"/>
      <c r="J439" s="1"/>
      <c r="L439" s="1"/>
      <c r="M439" s="3"/>
      <c r="N439" s="3"/>
      <c r="O439" s="3"/>
      <c r="P439" s="3"/>
      <c r="Q439" s="3"/>
      <c r="R439" s="5"/>
      <c r="S439" s="3"/>
      <c r="T439" s="3"/>
      <c r="U439" s="5"/>
      <c r="V439" s="5"/>
      <c r="W439" s="6"/>
      <c r="X439" s="6"/>
      <c r="Y439" s="1"/>
      <c r="Z439" s="1"/>
      <c r="AA439" s="7"/>
      <c r="AB439" s="1"/>
      <c r="AC439" s="207"/>
      <c r="AD439" s="206"/>
    </row>
    <row r="440" spans="1:30" s="2" customFormat="1" x14ac:dyDescent="0.3">
      <c r="A440" s="1"/>
      <c r="B440" s="1"/>
      <c r="D440" s="3"/>
      <c r="E440" s="1"/>
      <c r="F440" s="4"/>
      <c r="G440" s="4"/>
      <c r="H440" s="4"/>
      <c r="I440" s="1"/>
      <c r="J440" s="1"/>
      <c r="L440" s="1"/>
      <c r="M440" s="3"/>
      <c r="N440" s="3"/>
      <c r="O440" s="3"/>
      <c r="P440" s="3"/>
      <c r="Q440" s="3"/>
      <c r="R440" s="5"/>
      <c r="S440" s="3"/>
      <c r="T440" s="3"/>
      <c r="U440" s="5"/>
      <c r="V440" s="5"/>
      <c r="W440" s="6"/>
      <c r="X440" s="6"/>
      <c r="Y440" s="1"/>
      <c r="Z440" s="1"/>
      <c r="AA440" s="7"/>
      <c r="AB440" s="1"/>
      <c r="AC440" s="207"/>
      <c r="AD440" s="206"/>
    </row>
    <row r="441" spans="1:30" s="2" customFormat="1" x14ac:dyDescent="0.3">
      <c r="A441" s="1"/>
      <c r="B441" s="1"/>
      <c r="D441" s="3"/>
      <c r="E441" s="1"/>
      <c r="F441" s="4"/>
      <c r="G441" s="4"/>
      <c r="H441" s="4"/>
      <c r="I441" s="1"/>
      <c r="J441" s="1"/>
      <c r="L441" s="1"/>
      <c r="M441" s="3"/>
      <c r="N441" s="3"/>
      <c r="O441" s="3"/>
      <c r="P441" s="3"/>
      <c r="Q441" s="3"/>
      <c r="R441" s="5"/>
      <c r="S441" s="3"/>
      <c r="T441" s="3"/>
      <c r="U441" s="5"/>
      <c r="V441" s="5"/>
      <c r="W441" s="6"/>
      <c r="X441" s="6"/>
      <c r="Y441" s="1"/>
      <c r="Z441" s="1"/>
      <c r="AA441" s="7"/>
      <c r="AB441" s="1"/>
      <c r="AC441" s="207"/>
      <c r="AD441" s="206"/>
    </row>
    <row r="442" spans="1:30" s="2" customFormat="1" x14ac:dyDescent="0.3">
      <c r="A442" s="1"/>
      <c r="B442" s="1"/>
      <c r="D442" s="3"/>
      <c r="E442" s="1"/>
      <c r="F442" s="4"/>
      <c r="G442" s="4"/>
      <c r="H442" s="4"/>
      <c r="I442" s="1"/>
      <c r="J442" s="1"/>
      <c r="L442" s="1"/>
      <c r="M442" s="3"/>
      <c r="N442" s="3"/>
      <c r="O442" s="3"/>
      <c r="P442" s="3"/>
      <c r="Q442" s="3"/>
      <c r="R442" s="5"/>
      <c r="S442" s="3"/>
      <c r="T442" s="3"/>
      <c r="U442" s="5"/>
      <c r="V442" s="5"/>
      <c r="W442" s="6"/>
      <c r="X442" s="6"/>
      <c r="Y442" s="1"/>
      <c r="Z442" s="1"/>
      <c r="AA442" s="7"/>
      <c r="AB442" s="1"/>
      <c r="AC442" s="207"/>
      <c r="AD442" s="206"/>
    </row>
    <row r="443" spans="1:30" s="2" customFormat="1" x14ac:dyDescent="0.3">
      <c r="A443" s="1"/>
      <c r="B443" s="1"/>
      <c r="D443" s="3"/>
      <c r="E443" s="1"/>
      <c r="F443" s="4"/>
      <c r="G443" s="4"/>
      <c r="H443" s="4"/>
      <c r="I443" s="1"/>
      <c r="J443" s="1"/>
      <c r="L443" s="1"/>
      <c r="M443" s="3"/>
      <c r="N443" s="3"/>
      <c r="O443" s="3"/>
      <c r="P443" s="3"/>
      <c r="Q443" s="3"/>
      <c r="R443" s="5"/>
      <c r="S443" s="3"/>
      <c r="T443" s="3"/>
      <c r="U443" s="5"/>
      <c r="V443" s="5"/>
      <c r="W443" s="6"/>
      <c r="X443" s="6"/>
      <c r="Y443" s="1"/>
      <c r="Z443" s="1"/>
      <c r="AA443" s="7"/>
      <c r="AB443" s="1"/>
      <c r="AC443" s="207"/>
      <c r="AD443" s="206"/>
    </row>
    <row r="444" spans="1:30" s="2" customFormat="1" x14ac:dyDescent="0.3">
      <c r="A444" s="1"/>
      <c r="B444" s="1"/>
      <c r="D444" s="3"/>
      <c r="E444" s="1"/>
      <c r="F444" s="4"/>
      <c r="G444" s="4"/>
      <c r="H444" s="4"/>
      <c r="I444" s="1"/>
      <c r="J444" s="1"/>
      <c r="L444" s="1"/>
      <c r="M444" s="3"/>
      <c r="N444" s="3"/>
      <c r="O444" s="3"/>
      <c r="P444" s="3"/>
      <c r="Q444" s="3"/>
      <c r="R444" s="5"/>
      <c r="S444" s="3"/>
      <c r="T444" s="3"/>
      <c r="U444" s="5"/>
      <c r="V444" s="5"/>
      <c r="W444" s="6"/>
      <c r="X444" s="6"/>
      <c r="Y444" s="1"/>
      <c r="Z444" s="1"/>
      <c r="AA444" s="7"/>
      <c r="AB444" s="1"/>
      <c r="AC444" s="207"/>
      <c r="AD444" s="206"/>
    </row>
    <row r="445" spans="1:30" s="2" customFormat="1" x14ac:dyDescent="0.3">
      <c r="A445" s="1"/>
      <c r="B445" s="1"/>
      <c r="D445" s="3"/>
      <c r="E445" s="1"/>
      <c r="F445" s="4"/>
      <c r="G445" s="4"/>
      <c r="H445" s="4"/>
      <c r="I445" s="1"/>
      <c r="J445" s="1"/>
      <c r="L445" s="1"/>
      <c r="M445" s="3"/>
      <c r="N445" s="3"/>
      <c r="O445" s="3"/>
      <c r="P445" s="3"/>
      <c r="Q445" s="3"/>
      <c r="R445" s="5"/>
      <c r="S445" s="3"/>
      <c r="T445" s="3"/>
      <c r="U445" s="5"/>
      <c r="V445" s="5"/>
      <c r="W445" s="6"/>
      <c r="X445" s="6"/>
      <c r="Y445" s="1"/>
      <c r="Z445" s="1"/>
      <c r="AA445" s="7"/>
      <c r="AB445" s="1"/>
      <c r="AC445" s="207"/>
      <c r="AD445" s="206"/>
    </row>
    <row r="446" spans="1:30" s="2" customFormat="1" x14ac:dyDescent="0.3">
      <c r="A446" s="1"/>
      <c r="B446" s="1"/>
      <c r="D446" s="3"/>
      <c r="E446" s="1"/>
      <c r="F446" s="4"/>
      <c r="G446" s="4"/>
      <c r="H446" s="4"/>
      <c r="I446" s="1"/>
      <c r="J446" s="1"/>
      <c r="L446" s="1"/>
      <c r="M446" s="3"/>
      <c r="N446" s="3"/>
      <c r="O446" s="3"/>
      <c r="P446" s="3"/>
      <c r="Q446" s="3"/>
      <c r="R446" s="5"/>
      <c r="S446" s="3"/>
      <c r="T446" s="3"/>
      <c r="U446" s="5"/>
      <c r="V446" s="5"/>
      <c r="W446" s="6"/>
      <c r="X446" s="6"/>
      <c r="Y446" s="1"/>
      <c r="Z446" s="1"/>
      <c r="AA446" s="7"/>
      <c r="AB446" s="1"/>
      <c r="AC446" s="207"/>
      <c r="AD446" s="206"/>
    </row>
    <row r="447" spans="1:30" s="2" customFormat="1" x14ac:dyDescent="0.3">
      <c r="A447" s="1"/>
      <c r="B447" s="1"/>
      <c r="D447" s="3"/>
      <c r="E447" s="1"/>
      <c r="F447" s="4"/>
      <c r="G447" s="4"/>
      <c r="H447" s="4"/>
      <c r="I447" s="1"/>
      <c r="J447" s="1"/>
      <c r="L447" s="1"/>
      <c r="M447" s="3"/>
      <c r="N447" s="3"/>
      <c r="O447" s="3"/>
      <c r="P447" s="3"/>
      <c r="Q447" s="3"/>
      <c r="R447" s="5"/>
      <c r="S447" s="3"/>
      <c r="T447" s="3"/>
      <c r="U447" s="5"/>
      <c r="V447" s="5"/>
      <c r="W447" s="6"/>
      <c r="X447" s="6"/>
      <c r="Y447" s="1"/>
      <c r="Z447" s="1"/>
      <c r="AA447" s="7"/>
      <c r="AB447" s="1"/>
      <c r="AC447" s="207"/>
      <c r="AD447" s="206"/>
    </row>
    <row r="448" spans="1:30" s="2" customFormat="1" x14ac:dyDescent="0.3">
      <c r="A448" s="1"/>
      <c r="B448" s="1"/>
      <c r="D448" s="3"/>
      <c r="E448" s="1"/>
      <c r="F448" s="4"/>
      <c r="G448" s="4"/>
      <c r="H448" s="4"/>
      <c r="I448" s="1"/>
      <c r="J448" s="1"/>
      <c r="L448" s="1"/>
      <c r="M448" s="3"/>
      <c r="N448" s="3"/>
      <c r="O448" s="3"/>
      <c r="P448" s="3"/>
      <c r="Q448" s="3"/>
      <c r="R448" s="5"/>
      <c r="S448" s="3"/>
      <c r="T448" s="3"/>
      <c r="U448" s="5"/>
      <c r="V448" s="5"/>
      <c r="W448" s="6"/>
      <c r="X448" s="6"/>
      <c r="Y448" s="1"/>
      <c r="Z448" s="1"/>
      <c r="AA448" s="7"/>
      <c r="AB448" s="1"/>
      <c r="AC448" s="207"/>
      <c r="AD448" s="206"/>
    </row>
    <row r="449" spans="1:30" s="2" customFormat="1" x14ac:dyDescent="0.3">
      <c r="A449" s="1"/>
      <c r="B449" s="1"/>
      <c r="D449" s="3"/>
      <c r="E449" s="1"/>
      <c r="F449" s="4"/>
      <c r="G449" s="4"/>
      <c r="H449" s="4"/>
      <c r="I449" s="1"/>
      <c r="J449" s="1"/>
      <c r="L449" s="1"/>
      <c r="M449" s="3"/>
      <c r="N449" s="3"/>
      <c r="O449" s="3"/>
      <c r="P449" s="3"/>
      <c r="Q449" s="3"/>
      <c r="R449" s="5"/>
      <c r="S449" s="3"/>
      <c r="T449" s="3"/>
      <c r="U449" s="5"/>
      <c r="V449" s="5"/>
      <c r="W449" s="6"/>
      <c r="X449" s="6"/>
      <c r="Y449" s="1"/>
      <c r="Z449" s="1"/>
      <c r="AA449" s="7"/>
      <c r="AB449" s="1"/>
      <c r="AC449" s="207"/>
      <c r="AD449" s="206"/>
    </row>
    <row r="450" spans="1:30" s="2" customFormat="1" x14ac:dyDescent="0.3">
      <c r="A450" s="1"/>
      <c r="B450" s="1"/>
      <c r="D450" s="3"/>
      <c r="E450" s="1"/>
      <c r="F450" s="4"/>
      <c r="G450" s="4"/>
      <c r="H450" s="4"/>
      <c r="I450" s="1"/>
      <c r="J450" s="1"/>
      <c r="L450" s="1"/>
      <c r="M450" s="3"/>
      <c r="N450" s="3"/>
      <c r="O450" s="3"/>
      <c r="P450" s="3"/>
      <c r="Q450" s="3"/>
      <c r="R450" s="5"/>
      <c r="S450" s="3"/>
      <c r="T450" s="3"/>
      <c r="U450" s="5"/>
      <c r="V450" s="5"/>
      <c r="W450" s="6"/>
      <c r="X450" s="6"/>
      <c r="Y450" s="1"/>
      <c r="Z450" s="1"/>
      <c r="AA450" s="7"/>
      <c r="AB450" s="1"/>
      <c r="AC450" s="207"/>
      <c r="AD450" s="206"/>
    </row>
    <row r="451" spans="1:30" s="2" customFormat="1" x14ac:dyDescent="0.3">
      <c r="A451" s="1"/>
      <c r="B451" s="1"/>
      <c r="D451" s="3"/>
      <c r="E451" s="1"/>
      <c r="F451" s="4"/>
      <c r="G451" s="4"/>
      <c r="H451" s="4"/>
      <c r="I451" s="1"/>
      <c r="J451" s="1"/>
      <c r="L451" s="1"/>
      <c r="M451" s="3"/>
      <c r="N451" s="3"/>
      <c r="O451" s="3"/>
      <c r="P451" s="3"/>
      <c r="Q451" s="3"/>
      <c r="R451" s="5"/>
      <c r="S451" s="3"/>
      <c r="T451" s="3"/>
      <c r="U451" s="5"/>
      <c r="V451" s="5"/>
      <c r="W451" s="6"/>
      <c r="X451" s="6"/>
      <c r="Y451" s="1"/>
      <c r="Z451" s="1"/>
      <c r="AA451" s="7"/>
      <c r="AB451" s="1"/>
      <c r="AC451" s="207"/>
      <c r="AD451" s="206"/>
    </row>
    <row r="452" spans="1:30" s="2" customFormat="1" x14ac:dyDescent="0.3">
      <c r="A452" s="1"/>
      <c r="B452" s="1"/>
      <c r="D452" s="3"/>
      <c r="E452" s="1"/>
      <c r="F452" s="4"/>
      <c r="G452" s="4"/>
      <c r="H452" s="4"/>
      <c r="I452" s="1"/>
      <c r="J452" s="1"/>
      <c r="L452" s="1"/>
      <c r="M452" s="3"/>
      <c r="N452" s="3"/>
      <c r="O452" s="3"/>
      <c r="P452" s="3"/>
      <c r="Q452" s="3"/>
      <c r="R452" s="5"/>
      <c r="S452" s="3"/>
      <c r="T452" s="3"/>
      <c r="U452" s="5"/>
      <c r="V452" s="5"/>
      <c r="W452" s="6"/>
      <c r="X452" s="6"/>
      <c r="Y452" s="1"/>
      <c r="Z452" s="1"/>
      <c r="AA452" s="7"/>
      <c r="AB452" s="1"/>
      <c r="AC452" s="207"/>
      <c r="AD452" s="206"/>
    </row>
    <row r="453" spans="1:30" s="2" customFormat="1" x14ac:dyDescent="0.3">
      <c r="A453" s="1"/>
      <c r="B453" s="1"/>
      <c r="D453" s="3"/>
      <c r="E453" s="1"/>
      <c r="F453" s="4"/>
      <c r="G453" s="4"/>
      <c r="H453" s="4"/>
      <c r="I453" s="1"/>
      <c r="J453" s="1"/>
      <c r="L453" s="1"/>
      <c r="M453" s="3"/>
      <c r="N453" s="3"/>
      <c r="O453" s="3"/>
      <c r="P453" s="3"/>
      <c r="Q453" s="3"/>
      <c r="R453" s="5"/>
      <c r="S453" s="3"/>
      <c r="T453" s="3"/>
      <c r="U453" s="5"/>
      <c r="V453" s="5"/>
      <c r="W453" s="6"/>
      <c r="X453" s="6"/>
      <c r="Y453" s="1"/>
      <c r="Z453" s="1"/>
      <c r="AA453" s="7"/>
      <c r="AB453" s="1"/>
      <c r="AC453" s="207"/>
      <c r="AD453" s="206"/>
    </row>
    <row r="454" spans="1:30" s="2" customFormat="1" x14ac:dyDescent="0.3">
      <c r="A454" s="1"/>
      <c r="B454" s="1"/>
      <c r="D454" s="3"/>
      <c r="E454" s="1"/>
      <c r="F454" s="4"/>
      <c r="G454" s="4"/>
      <c r="H454" s="4"/>
      <c r="I454" s="1"/>
      <c r="J454" s="1"/>
      <c r="L454" s="1"/>
      <c r="M454" s="3"/>
      <c r="N454" s="3"/>
      <c r="O454" s="3"/>
      <c r="P454" s="3"/>
      <c r="Q454" s="3"/>
      <c r="R454" s="5"/>
      <c r="S454" s="3"/>
      <c r="T454" s="3"/>
      <c r="U454" s="5"/>
      <c r="V454" s="5"/>
      <c r="W454" s="6"/>
      <c r="X454" s="6"/>
      <c r="Y454" s="1"/>
      <c r="Z454" s="1"/>
      <c r="AA454" s="7"/>
      <c r="AB454" s="1"/>
      <c r="AC454" s="207"/>
      <c r="AD454" s="206"/>
    </row>
    <row r="455" spans="1:30" s="2" customFormat="1" x14ac:dyDescent="0.3">
      <c r="A455" s="1"/>
      <c r="B455" s="1"/>
      <c r="D455" s="3"/>
      <c r="E455" s="1"/>
      <c r="F455" s="4"/>
      <c r="G455" s="4"/>
      <c r="H455" s="4"/>
      <c r="I455" s="1"/>
      <c r="J455" s="1"/>
      <c r="L455" s="1"/>
      <c r="M455" s="3"/>
      <c r="N455" s="3"/>
      <c r="O455" s="3"/>
      <c r="P455" s="3"/>
      <c r="Q455" s="3"/>
      <c r="R455" s="5"/>
      <c r="S455" s="3"/>
      <c r="T455" s="3"/>
      <c r="U455" s="5"/>
      <c r="V455" s="5"/>
      <c r="W455" s="6"/>
      <c r="X455" s="6"/>
      <c r="Y455" s="1"/>
      <c r="Z455" s="1"/>
      <c r="AA455" s="7"/>
      <c r="AB455" s="1"/>
      <c r="AC455" s="207"/>
      <c r="AD455" s="206"/>
    </row>
    <row r="456" spans="1:30" s="2" customFormat="1" x14ac:dyDescent="0.3">
      <c r="A456" s="1"/>
      <c r="B456" s="1"/>
      <c r="D456" s="3"/>
      <c r="E456" s="1"/>
      <c r="F456" s="4"/>
      <c r="G456" s="4"/>
      <c r="H456" s="4"/>
      <c r="I456" s="1"/>
      <c r="J456" s="1"/>
      <c r="L456" s="1"/>
      <c r="M456" s="3"/>
      <c r="N456" s="3"/>
      <c r="O456" s="3"/>
      <c r="P456" s="3"/>
      <c r="Q456" s="3"/>
      <c r="R456" s="5"/>
      <c r="S456" s="3"/>
      <c r="T456" s="3"/>
      <c r="U456" s="5"/>
      <c r="V456" s="5"/>
      <c r="W456" s="6"/>
      <c r="X456" s="6"/>
      <c r="Y456" s="1"/>
      <c r="Z456" s="1"/>
      <c r="AA456" s="7"/>
      <c r="AB456" s="1"/>
      <c r="AC456" s="207"/>
      <c r="AD456" s="206"/>
    </row>
    <row r="457" spans="1:30" s="2" customFormat="1" x14ac:dyDescent="0.3">
      <c r="A457" s="1"/>
      <c r="B457" s="1"/>
      <c r="D457" s="3"/>
      <c r="E457" s="1"/>
      <c r="F457" s="4"/>
      <c r="G457" s="4"/>
      <c r="H457" s="4"/>
      <c r="I457" s="1"/>
      <c r="J457" s="1"/>
      <c r="L457" s="1"/>
      <c r="M457" s="3"/>
      <c r="N457" s="3"/>
      <c r="O457" s="3"/>
      <c r="P457" s="3"/>
      <c r="Q457" s="3"/>
      <c r="R457" s="5"/>
      <c r="S457" s="3"/>
      <c r="T457" s="3"/>
      <c r="U457" s="5"/>
      <c r="V457" s="5"/>
      <c r="W457" s="6"/>
      <c r="X457" s="6"/>
      <c r="Y457" s="1"/>
      <c r="Z457" s="1"/>
      <c r="AA457" s="7"/>
      <c r="AB457" s="1"/>
      <c r="AC457" s="207"/>
      <c r="AD457" s="206"/>
    </row>
    <row r="458" spans="1:30" s="2" customFormat="1" x14ac:dyDescent="0.3">
      <c r="A458" s="1"/>
      <c r="B458" s="1"/>
      <c r="D458" s="3"/>
      <c r="E458" s="1"/>
      <c r="F458" s="4"/>
      <c r="G458" s="4"/>
      <c r="H458" s="4"/>
      <c r="I458" s="1"/>
      <c r="J458" s="1"/>
      <c r="L458" s="1"/>
      <c r="M458" s="3"/>
      <c r="N458" s="3"/>
      <c r="O458" s="3"/>
      <c r="P458" s="3"/>
      <c r="Q458" s="3"/>
      <c r="R458" s="5"/>
      <c r="S458" s="3"/>
      <c r="T458" s="3"/>
      <c r="U458" s="5"/>
      <c r="V458" s="5"/>
      <c r="W458" s="6"/>
      <c r="X458" s="6"/>
      <c r="Y458" s="1"/>
      <c r="Z458" s="1"/>
      <c r="AA458" s="7"/>
      <c r="AB458" s="1"/>
      <c r="AC458" s="207"/>
      <c r="AD458" s="206"/>
    </row>
    <row r="459" spans="1:30" s="2" customFormat="1" x14ac:dyDescent="0.3">
      <c r="A459" s="1"/>
      <c r="B459" s="1"/>
      <c r="D459" s="3"/>
      <c r="E459" s="1"/>
      <c r="F459" s="4"/>
      <c r="G459" s="4"/>
      <c r="H459" s="4"/>
      <c r="I459" s="1"/>
      <c r="J459" s="1"/>
      <c r="L459" s="1"/>
      <c r="M459" s="3"/>
      <c r="N459" s="3"/>
      <c r="O459" s="3"/>
      <c r="P459" s="3"/>
      <c r="Q459" s="3"/>
      <c r="R459" s="5"/>
      <c r="S459" s="3"/>
      <c r="T459" s="3"/>
      <c r="U459" s="5"/>
      <c r="V459" s="5"/>
      <c r="W459" s="6"/>
      <c r="X459" s="6"/>
      <c r="Y459" s="1"/>
      <c r="Z459" s="1"/>
      <c r="AA459" s="7"/>
      <c r="AB459" s="1"/>
      <c r="AC459" s="207"/>
      <c r="AD459" s="206"/>
    </row>
    <row r="460" spans="1:30" s="2" customFormat="1" x14ac:dyDescent="0.3">
      <c r="A460" s="1"/>
      <c r="B460" s="1"/>
      <c r="D460" s="3"/>
      <c r="E460" s="1"/>
      <c r="F460" s="4"/>
      <c r="G460" s="4"/>
      <c r="H460" s="4"/>
      <c r="I460" s="1"/>
      <c r="J460" s="1"/>
      <c r="L460" s="1"/>
      <c r="M460" s="3"/>
      <c r="N460" s="3"/>
      <c r="O460" s="3"/>
      <c r="P460" s="3"/>
      <c r="Q460" s="3"/>
      <c r="R460" s="5"/>
      <c r="S460" s="3"/>
      <c r="T460" s="3"/>
      <c r="U460" s="5"/>
      <c r="V460" s="5"/>
      <c r="W460" s="6"/>
      <c r="X460" s="6"/>
      <c r="Y460" s="1"/>
      <c r="Z460" s="1"/>
      <c r="AA460" s="7"/>
      <c r="AB460" s="1"/>
      <c r="AC460" s="207"/>
      <c r="AD460" s="206"/>
    </row>
    <row r="461" spans="1:30" s="2" customFormat="1" x14ac:dyDescent="0.3">
      <c r="A461" s="1"/>
      <c r="B461" s="1"/>
      <c r="D461" s="3"/>
      <c r="E461" s="1"/>
      <c r="F461" s="4"/>
      <c r="G461" s="4"/>
      <c r="H461" s="4"/>
      <c r="I461" s="1"/>
      <c r="J461" s="1"/>
      <c r="L461" s="1"/>
      <c r="M461" s="3"/>
      <c r="N461" s="3"/>
      <c r="O461" s="3"/>
      <c r="P461" s="3"/>
      <c r="Q461" s="3"/>
      <c r="R461" s="5"/>
      <c r="S461" s="3"/>
      <c r="T461" s="3"/>
      <c r="U461" s="5"/>
      <c r="V461" s="5"/>
      <c r="W461" s="6"/>
      <c r="X461" s="6"/>
      <c r="Y461" s="1"/>
      <c r="Z461" s="1"/>
      <c r="AA461" s="7"/>
      <c r="AB461" s="1"/>
      <c r="AC461" s="207"/>
      <c r="AD461" s="206"/>
    </row>
    <row r="462" spans="1:30" s="2" customFormat="1" x14ac:dyDescent="0.3">
      <c r="A462" s="1"/>
      <c r="B462" s="1"/>
      <c r="D462" s="3"/>
      <c r="E462" s="1"/>
      <c r="F462" s="4"/>
      <c r="G462" s="4"/>
      <c r="H462" s="4"/>
      <c r="I462" s="1"/>
      <c r="J462" s="1"/>
      <c r="L462" s="1"/>
      <c r="M462" s="3"/>
      <c r="N462" s="3"/>
      <c r="O462" s="3"/>
      <c r="P462" s="3"/>
      <c r="Q462" s="3"/>
      <c r="R462" s="5"/>
      <c r="S462" s="3"/>
      <c r="T462" s="3"/>
      <c r="U462" s="5"/>
      <c r="V462" s="5"/>
      <c r="W462" s="6"/>
      <c r="X462" s="6"/>
      <c r="Y462" s="1"/>
      <c r="Z462" s="1"/>
      <c r="AA462" s="7"/>
      <c r="AB462" s="1"/>
      <c r="AC462" s="207"/>
      <c r="AD462" s="206"/>
    </row>
    <row r="463" spans="1:30" s="2" customFormat="1" x14ac:dyDescent="0.3">
      <c r="A463" s="1"/>
      <c r="B463" s="1"/>
      <c r="D463" s="3"/>
      <c r="E463" s="1"/>
      <c r="F463" s="4"/>
      <c r="G463" s="4"/>
      <c r="H463" s="4"/>
      <c r="I463" s="1"/>
      <c r="J463" s="1"/>
      <c r="L463" s="1"/>
      <c r="M463" s="3"/>
      <c r="N463" s="3"/>
      <c r="O463" s="3"/>
      <c r="P463" s="3"/>
      <c r="Q463" s="3"/>
      <c r="R463" s="5"/>
      <c r="S463" s="3"/>
      <c r="T463" s="3"/>
      <c r="U463" s="5"/>
      <c r="V463" s="5"/>
      <c r="W463" s="6"/>
      <c r="X463" s="6"/>
      <c r="Y463" s="1"/>
      <c r="Z463" s="1"/>
      <c r="AA463" s="7"/>
      <c r="AB463" s="1"/>
      <c r="AC463" s="207"/>
      <c r="AD463" s="206"/>
    </row>
    <row r="464" spans="1:30" s="2" customFormat="1" x14ac:dyDescent="0.3">
      <c r="A464" s="1"/>
      <c r="B464" s="1"/>
      <c r="D464" s="3"/>
      <c r="E464" s="1"/>
      <c r="F464" s="4"/>
      <c r="G464" s="4"/>
      <c r="H464" s="4"/>
      <c r="I464" s="1"/>
      <c r="J464" s="1"/>
      <c r="L464" s="1"/>
      <c r="M464" s="3"/>
      <c r="N464" s="3"/>
      <c r="O464" s="3"/>
      <c r="P464" s="3"/>
      <c r="Q464" s="3"/>
      <c r="R464" s="5"/>
      <c r="S464" s="3"/>
      <c r="T464" s="3"/>
      <c r="U464" s="5"/>
      <c r="V464" s="5"/>
      <c r="W464" s="6"/>
      <c r="X464" s="6"/>
      <c r="Y464" s="1"/>
      <c r="Z464" s="1"/>
      <c r="AA464" s="7"/>
      <c r="AB464" s="1"/>
      <c r="AC464" s="207"/>
      <c r="AD464" s="206"/>
    </row>
    <row r="465" spans="1:30" s="2" customFormat="1" x14ac:dyDescent="0.3">
      <c r="A465" s="1"/>
      <c r="B465" s="1"/>
      <c r="D465" s="3"/>
      <c r="E465" s="1"/>
      <c r="F465" s="4"/>
      <c r="G465" s="4"/>
      <c r="H465" s="4"/>
      <c r="I465" s="1"/>
      <c r="J465" s="1"/>
      <c r="L465" s="1"/>
      <c r="M465" s="3"/>
      <c r="N465" s="3"/>
      <c r="O465" s="3"/>
      <c r="P465" s="3"/>
      <c r="Q465" s="3"/>
      <c r="R465" s="5"/>
      <c r="S465" s="3"/>
      <c r="T465" s="3"/>
      <c r="U465" s="5"/>
      <c r="V465" s="5"/>
      <c r="W465" s="6"/>
      <c r="X465" s="6"/>
      <c r="Y465" s="1"/>
      <c r="Z465" s="1"/>
      <c r="AA465" s="7"/>
      <c r="AB465" s="1"/>
      <c r="AC465" s="207"/>
      <c r="AD465" s="206"/>
    </row>
    <row r="466" spans="1:30" s="2" customFormat="1" x14ac:dyDescent="0.3">
      <c r="A466" s="1"/>
      <c r="B466" s="1"/>
      <c r="D466" s="3"/>
      <c r="E466" s="1"/>
      <c r="F466" s="4"/>
      <c r="G466" s="4"/>
      <c r="H466" s="4"/>
      <c r="I466" s="1"/>
      <c r="J466" s="1"/>
      <c r="L466" s="1"/>
      <c r="M466" s="3"/>
      <c r="N466" s="3"/>
      <c r="O466" s="3"/>
      <c r="P466" s="3"/>
      <c r="Q466" s="3"/>
      <c r="R466" s="5"/>
      <c r="S466" s="3"/>
      <c r="T466" s="3"/>
      <c r="U466" s="5"/>
      <c r="V466" s="5"/>
      <c r="W466" s="6"/>
      <c r="X466" s="6"/>
      <c r="Y466" s="1"/>
      <c r="Z466" s="1"/>
      <c r="AA466" s="7"/>
      <c r="AB466" s="1"/>
      <c r="AC466" s="207"/>
      <c r="AD466" s="206"/>
    </row>
    <row r="467" spans="1:30" s="2" customFormat="1" x14ac:dyDescent="0.3">
      <c r="A467" s="1"/>
      <c r="B467" s="1"/>
      <c r="D467" s="3"/>
      <c r="E467" s="1"/>
      <c r="F467" s="4"/>
      <c r="G467" s="4"/>
      <c r="H467" s="4"/>
      <c r="I467" s="1"/>
      <c r="J467" s="1"/>
      <c r="L467" s="1"/>
      <c r="M467" s="3"/>
      <c r="N467" s="3"/>
      <c r="O467" s="3"/>
      <c r="P467" s="3"/>
      <c r="Q467" s="3"/>
      <c r="R467" s="5"/>
      <c r="S467" s="3"/>
      <c r="T467" s="3"/>
      <c r="U467" s="5"/>
      <c r="V467" s="5"/>
      <c r="W467" s="6"/>
      <c r="X467" s="6"/>
      <c r="Y467" s="1"/>
      <c r="Z467" s="1"/>
      <c r="AA467" s="7"/>
      <c r="AB467" s="1"/>
      <c r="AC467" s="207"/>
      <c r="AD467" s="206"/>
    </row>
    <row r="468" spans="1:30" s="2" customFormat="1" x14ac:dyDescent="0.3">
      <c r="A468" s="1"/>
      <c r="B468" s="1"/>
      <c r="D468" s="3"/>
      <c r="E468" s="1"/>
      <c r="F468" s="4"/>
      <c r="G468" s="4"/>
      <c r="H468" s="4"/>
      <c r="I468" s="1"/>
      <c r="J468" s="1"/>
      <c r="L468" s="1"/>
      <c r="M468" s="3"/>
      <c r="N468" s="3"/>
      <c r="O468" s="3"/>
      <c r="P468" s="3"/>
      <c r="Q468" s="3"/>
      <c r="R468" s="5"/>
      <c r="S468" s="3"/>
      <c r="T468" s="3"/>
      <c r="U468" s="5"/>
      <c r="V468" s="5"/>
      <c r="W468" s="6"/>
      <c r="X468" s="6"/>
      <c r="Y468" s="1"/>
      <c r="Z468" s="1"/>
      <c r="AA468" s="7"/>
      <c r="AB468" s="1"/>
      <c r="AC468" s="207"/>
      <c r="AD468" s="206"/>
    </row>
    <row r="469" spans="1:30" s="2" customFormat="1" x14ac:dyDescent="0.3">
      <c r="A469" s="1"/>
      <c r="B469" s="1"/>
      <c r="D469" s="3"/>
      <c r="E469" s="1"/>
      <c r="F469" s="4"/>
      <c r="G469" s="4"/>
      <c r="H469" s="4"/>
      <c r="I469" s="1"/>
      <c r="J469" s="1"/>
      <c r="L469" s="1"/>
      <c r="M469" s="3"/>
      <c r="N469" s="3"/>
      <c r="O469" s="3"/>
      <c r="P469" s="3"/>
      <c r="Q469" s="3"/>
      <c r="R469" s="5"/>
      <c r="S469" s="3"/>
      <c r="T469" s="3"/>
      <c r="U469" s="5"/>
      <c r="V469" s="5"/>
      <c r="W469" s="6"/>
      <c r="X469" s="6"/>
      <c r="Y469" s="1"/>
      <c r="Z469" s="1"/>
      <c r="AA469" s="7"/>
      <c r="AB469" s="1"/>
      <c r="AC469" s="207"/>
      <c r="AD469" s="206"/>
    </row>
    <row r="470" spans="1:30" s="2" customFormat="1" x14ac:dyDescent="0.3">
      <c r="A470" s="1"/>
      <c r="B470" s="1"/>
      <c r="D470" s="3"/>
      <c r="E470" s="1"/>
      <c r="F470" s="4"/>
      <c r="G470" s="4"/>
      <c r="H470" s="4"/>
      <c r="I470" s="1"/>
      <c r="J470" s="1"/>
      <c r="L470" s="1"/>
      <c r="M470" s="3"/>
      <c r="N470" s="3"/>
      <c r="O470" s="3"/>
      <c r="P470" s="3"/>
      <c r="Q470" s="3"/>
      <c r="R470" s="5"/>
      <c r="S470" s="3"/>
      <c r="T470" s="3"/>
      <c r="U470" s="5"/>
      <c r="V470" s="5"/>
      <c r="W470" s="6"/>
      <c r="X470" s="6"/>
      <c r="Y470" s="1"/>
      <c r="Z470" s="1"/>
      <c r="AA470" s="7"/>
      <c r="AB470" s="1"/>
      <c r="AC470" s="207"/>
      <c r="AD470" s="206"/>
    </row>
    <row r="471" spans="1:30" s="2" customFormat="1" x14ac:dyDescent="0.3">
      <c r="A471" s="1"/>
      <c r="B471" s="1"/>
      <c r="D471" s="3"/>
      <c r="E471" s="1"/>
      <c r="F471" s="4"/>
      <c r="G471" s="4"/>
      <c r="H471" s="4"/>
      <c r="I471" s="1"/>
      <c r="J471" s="1"/>
      <c r="L471" s="1"/>
      <c r="M471" s="3"/>
      <c r="N471" s="3"/>
      <c r="O471" s="3"/>
      <c r="P471" s="3"/>
      <c r="Q471" s="3"/>
      <c r="R471" s="5"/>
      <c r="S471" s="3"/>
      <c r="T471" s="3"/>
      <c r="U471" s="5"/>
      <c r="V471" s="5"/>
      <c r="W471" s="6"/>
      <c r="X471" s="6"/>
      <c r="Y471" s="1"/>
      <c r="Z471" s="1"/>
      <c r="AA471" s="7"/>
      <c r="AB471" s="1"/>
      <c r="AC471" s="207"/>
      <c r="AD471" s="206"/>
    </row>
    <row r="472" spans="1:30" s="2" customFormat="1" x14ac:dyDescent="0.3">
      <c r="A472" s="1"/>
      <c r="B472" s="1"/>
      <c r="D472" s="3"/>
      <c r="E472" s="1"/>
      <c r="F472" s="4"/>
      <c r="G472" s="4"/>
      <c r="H472" s="4"/>
      <c r="I472" s="1"/>
      <c r="J472" s="1"/>
      <c r="L472" s="1"/>
      <c r="M472" s="3"/>
      <c r="N472" s="3"/>
      <c r="O472" s="3"/>
      <c r="P472" s="3"/>
      <c r="Q472" s="3"/>
      <c r="R472" s="5"/>
      <c r="S472" s="3"/>
      <c r="T472" s="3"/>
      <c r="U472" s="5"/>
      <c r="V472" s="5"/>
      <c r="W472" s="6"/>
      <c r="X472" s="6"/>
      <c r="Y472" s="1"/>
      <c r="Z472" s="1"/>
      <c r="AA472" s="7"/>
      <c r="AB472" s="1"/>
      <c r="AC472" s="207"/>
      <c r="AD472" s="206"/>
    </row>
    <row r="473" spans="1:30" s="2" customFormat="1" x14ac:dyDescent="0.3">
      <c r="A473" s="1"/>
      <c r="B473" s="1"/>
      <c r="D473" s="3"/>
      <c r="E473" s="1"/>
      <c r="F473" s="4"/>
      <c r="G473" s="4"/>
      <c r="H473" s="4"/>
      <c r="I473" s="1"/>
      <c r="J473" s="1"/>
      <c r="L473" s="1"/>
      <c r="M473" s="3"/>
      <c r="N473" s="3"/>
      <c r="O473" s="3"/>
      <c r="P473" s="3"/>
      <c r="Q473" s="3"/>
      <c r="R473" s="5"/>
      <c r="S473" s="3"/>
      <c r="T473" s="3"/>
      <c r="U473" s="5"/>
      <c r="V473" s="5"/>
      <c r="W473" s="6"/>
      <c r="X473" s="6"/>
      <c r="Y473" s="1"/>
      <c r="Z473" s="1"/>
      <c r="AA473" s="7"/>
      <c r="AB473" s="1"/>
      <c r="AC473" s="207"/>
      <c r="AD473" s="206"/>
    </row>
    <row r="474" spans="1:30" s="2" customFormat="1" x14ac:dyDescent="0.3">
      <c r="A474" s="1"/>
      <c r="B474" s="1"/>
      <c r="D474" s="3"/>
      <c r="E474" s="1"/>
      <c r="F474" s="4"/>
      <c r="G474" s="4"/>
      <c r="H474" s="4"/>
      <c r="I474" s="1"/>
      <c r="J474" s="1"/>
      <c r="L474" s="1"/>
      <c r="M474" s="3"/>
      <c r="N474" s="3"/>
      <c r="O474" s="3"/>
      <c r="P474" s="3"/>
      <c r="Q474" s="3"/>
      <c r="R474" s="5"/>
      <c r="S474" s="3"/>
      <c r="T474" s="3"/>
      <c r="U474" s="5"/>
      <c r="V474" s="5"/>
      <c r="W474" s="6"/>
      <c r="X474" s="6"/>
      <c r="Y474" s="1"/>
      <c r="Z474" s="1"/>
      <c r="AA474" s="7"/>
      <c r="AB474" s="1"/>
      <c r="AC474" s="207"/>
      <c r="AD474" s="206"/>
    </row>
    <row r="475" spans="1:30" s="2" customFormat="1" x14ac:dyDescent="0.3">
      <c r="A475" s="1"/>
      <c r="B475" s="1"/>
      <c r="D475" s="3"/>
      <c r="E475" s="1"/>
      <c r="F475" s="4"/>
      <c r="G475" s="4"/>
      <c r="H475" s="4"/>
      <c r="I475" s="1"/>
      <c r="J475" s="1"/>
      <c r="L475" s="1"/>
      <c r="M475" s="3"/>
      <c r="N475" s="3"/>
      <c r="O475" s="3"/>
      <c r="P475" s="3"/>
      <c r="Q475" s="3"/>
      <c r="R475" s="5"/>
      <c r="S475" s="3"/>
      <c r="T475" s="3"/>
      <c r="U475" s="5"/>
      <c r="V475" s="5"/>
      <c r="W475" s="6"/>
      <c r="X475" s="6"/>
      <c r="Y475" s="1"/>
      <c r="Z475" s="1"/>
      <c r="AA475" s="7"/>
      <c r="AB475" s="1"/>
      <c r="AC475" s="207"/>
      <c r="AD475" s="206"/>
    </row>
    <row r="476" spans="1:30" s="2" customFormat="1" x14ac:dyDescent="0.3">
      <c r="A476" s="1"/>
      <c r="B476" s="1"/>
      <c r="D476" s="3"/>
      <c r="E476" s="1"/>
      <c r="F476" s="4"/>
      <c r="G476" s="4"/>
      <c r="H476" s="4"/>
      <c r="I476" s="1"/>
      <c r="J476" s="1"/>
      <c r="L476" s="1"/>
      <c r="M476" s="3"/>
      <c r="N476" s="3"/>
      <c r="O476" s="3"/>
      <c r="P476" s="3"/>
      <c r="Q476" s="3"/>
      <c r="R476" s="5"/>
      <c r="S476" s="3"/>
      <c r="T476" s="3"/>
      <c r="U476" s="5"/>
      <c r="V476" s="5"/>
      <c r="W476" s="6"/>
      <c r="X476" s="6"/>
      <c r="Y476" s="1"/>
      <c r="Z476" s="1"/>
      <c r="AA476" s="7"/>
      <c r="AB476" s="1"/>
      <c r="AC476" s="207"/>
      <c r="AD476" s="206"/>
    </row>
    <row r="477" spans="1:30" s="2" customFormat="1" x14ac:dyDescent="0.3">
      <c r="A477" s="1"/>
      <c r="B477" s="1"/>
      <c r="D477" s="3"/>
      <c r="E477" s="1"/>
      <c r="F477" s="4"/>
      <c r="G477" s="4"/>
      <c r="H477" s="4"/>
      <c r="I477" s="1"/>
      <c r="J477" s="1"/>
      <c r="L477" s="1"/>
      <c r="M477" s="3"/>
      <c r="N477" s="3"/>
      <c r="O477" s="3"/>
      <c r="P477" s="3"/>
      <c r="Q477" s="3"/>
      <c r="R477" s="5"/>
      <c r="S477" s="3"/>
      <c r="T477" s="3"/>
      <c r="U477" s="5"/>
      <c r="V477" s="5"/>
      <c r="W477" s="6"/>
      <c r="X477" s="6"/>
      <c r="Y477" s="1"/>
      <c r="Z477" s="1"/>
      <c r="AA477" s="7"/>
      <c r="AB477" s="1"/>
      <c r="AC477" s="207"/>
      <c r="AD477" s="206"/>
    </row>
    <row r="478" spans="1:30" s="2" customFormat="1" x14ac:dyDescent="0.3">
      <c r="A478" s="1"/>
      <c r="B478" s="1"/>
      <c r="D478" s="3"/>
      <c r="E478" s="1"/>
      <c r="F478" s="4"/>
      <c r="G478" s="4"/>
      <c r="H478" s="4"/>
      <c r="I478" s="1"/>
      <c r="J478" s="1"/>
      <c r="L478" s="1"/>
      <c r="M478" s="3"/>
      <c r="N478" s="3"/>
      <c r="O478" s="3"/>
      <c r="P478" s="3"/>
      <c r="Q478" s="3"/>
      <c r="R478" s="5"/>
      <c r="S478" s="3"/>
      <c r="T478" s="3"/>
      <c r="U478" s="5"/>
      <c r="V478" s="5"/>
      <c r="W478" s="6"/>
      <c r="X478" s="6"/>
      <c r="Y478" s="1"/>
      <c r="Z478" s="1"/>
      <c r="AA478" s="7"/>
      <c r="AB478" s="1"/>
      <c r="AC478" s="207"/>
      <c r="AD478" s="206"/>
    </row>
    <row r="479" spans="1:30" s="2" customFormat="1" x14ac:dyDescent="0.3">
      <c r="A479" s="1"/>
      <c r="B479" s="1"/>
      <c r="D479" s="3"/>
      <c r="E479" s="1"/>
      <c r="F479" s="4"/>
      <c r="G479" s="4"/>
      <c r="H479" s="4"/>
      <c r="I479" s="1"/>
      <c r="J479" s="1"/>
      <c r="L479" s="1"/>
      <c r="M479" s="3"/>
      <c r="N479" s="3"/>
      <c r="O479" s="3"/>
      <c r="P479" s="3"/>
      <c r="Q479" s="3"/>
      <c r="R479" s="5"/>
      <c r="S479" s="3"/>
      <c r="T479" s="3"/>
      <c r="U479" s="5"/>
      <c r="V479" s="5"/>
      <c r="W479" s="6"/>
      <c r="X479" s="6"/>
      <c r="Y479" s="1"/>
      <c r="Z479" s="1"/>
      <c r="AA479" s="7"/>
      <c r="AB479" s="1"/>
      <c r="AC479" s="207"/>
      <c r="AD479" s="206"/>
    </row>
  </sheetData>
  <autoFilter ref="P8:P285" xr:uid="{00000000-0001-0000-0300-000000000000}"/>
  <mergeCells count="12">
    <mergeCell ref="E9:K9"/>
    <mergeCell ref="B2:AA2"/>
    <mergeCell ref="M4:Y4"/>
    <mergeCell ref="B7:B8"/>
    <mergeCell ref="C7:C8"/>
    <mergeCell ref="D7:D8"/>
    <mergeCell ref="E7:K8"/>
    <mergeCell ref="L7:R7"/>
    <mergeCell ref="S7:U7"/>
    <mergeCell ref="V7:V8"/>
    <mergeCell ref="W7:Z7"/>
    <mergeCell ref="AA7:AA8"/>
  </mergeCells>
  <phoneticPr fontId="64" type="noConversion"/>
  <conditionalFormatting sqref="Q167:R167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{C43508D9-C028-42D8-8E83-BB917714440E}</x14:id>
        </ext>
      </extLst>
    </cfRule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{27207075-518A-4EE0-B478-9FDE24896CA5}</x14:id>
        </ext>
      </extLst>
    </cfRule>
  </conditionalFormatting>
  <conditionalFormatting sqref="R9:R18">
    <cfRule type="dataBar" priority="2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{03956DBE-4882-4D25-B6BB-54B9A80F4BA3}</x14:id>
        </ext>
      </extLst>
    </cfRule>
  </conditionalFormatting>
  <conditionalFormatting sqref="R19"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{C15C090C-45BB-4D57-BCC9-D52CA4920D94}</x14:id>
        </ext>
      </extLst>
    </cfRule>
  </conditionalFormatting>
  <conditionalFormatting sqref="R20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{FCA13E4C-F1F1-4850-B100-9BB36D8721DC}</x14:id>
        </ext>
      </extLst>
    </cfRule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{97E0B651-F3D7-4A53-A77F-3E4448D1F216}</x14:id>
        </ext>
      </extLst>
    </cfRule>
  </conditionalFormatting>
  <conditionalFormatting sqref="R21 R42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{3E5B5610-80E5-40DD-A4AB-ADC0A0F9262A}</x14:id>
        </ext>
      </extLst>
    </cfRule>
  </conditionalFormatting>
  <conditionalFormatting sqref="R22:R41">
    <cfRule type="dataBar" priority="2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{C10880DA-FBBD-4B04-989B-382D23EEDDFB}</x14:id>
        </ext>
      </extLst>
    </cfRule>
    <cfRule type="dataBar" priority="29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{95E54942-C4B8-48CF-8B42-A9160BE4352F}</x14:id>
        </ext>
      </extLst>
    </cfRule>
  </conditionalFormatting>
  <conditionalFormatting sqref="R43:R46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{7A1475F0-ED5D-4FDB-A023-D98EAAAB453A}</x14:id>
        </ext>
      </extLst>
    </cfRule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{38546053-49B7-4429-8752-53BDCB732BA2}</x14:id>
        </ext>
      </extLst>
    </cfRule>
  </conditionalFormatting>
  <conditionalFormatting sqref="R47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{4B4FC9EB-ECEC-405E-B798-5F069BECE800}</x14:id>
        </ext>
      </extLst>
    </cfRule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{5DBEAF0E-D561-4107-AA83-5002A5101579}</x14:id>
        </ext>
      </extLst>
    </cfRule>
  </conditionalFormatting>
  <conditionalFormatting sqref="R48">
    <cfRule type="dataBar" priority="2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{803C0813-8DA6-4193-A3FA-AA9498C20653}</x14:id>
        </ext>
      </extLst>
    </cfRule>
  </conditionalFormatting>
  <conditionalFormatting sqref="R52">
    <cfRule type="dataBar" priority="3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{A222E76D-2676-4124-99C6-4D1968F19704}</x14:id>
        </ext>
      </extLst>
    </cfRule>
    <cfRule type="dataBar" priority="3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{C026E962-2359-42CB-A10D-D292BBF8AC3D}</x14:id>
        </ext>
      </extLst>
    </cfRule>
  </conditionalFormatting>
  <conditionalFormatting sqref="R53:R54">
    <cfRule type="dataBar" priority="3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{8D7C2860-72FF-41FA-8610-053F783433D1}</x14:id>
        </ext>
      </extLst>
    </cfRule>
    <cfRule type="dataBar" priority="3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{95458ED6-9F3D-4CA0-805F-9976AE098C86}</x14:id>
        </ext>
      </extLst>
    </cfRule>
  </conditionalFormatting>
  <conditionalFormatting sqref="R55:R72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{A71EF53D-EDCD-489B-AFCC-1B6EC9A2373F}</x14:id>
        </ext>
      </extLst>
    </cfRule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{25C0F2DB-0C4B-4BAA-8FE6-29E7B8617EC2}</x14:id>
        </ext>
      </extLst>
    </cfRule>
  </conditionalFormatting>
  <conditionalFormatting sqref="R73:R103 R49:R51">
    <cfRule type="dataBar" priority="3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{423C79E1-D521-4F82-B1A3-370A76D38C0F}</x14:id>
        </ext>
      </extLst>
    </cfRule>
    <cfRule type="dataBar" priority="3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{DE5BDD8B-008E-4184-A24E-30ABDE8BE71D}</x14:id>
        </ext>
      </extLst>
    </cfRule>
  </conditionalFormatting>
  <conditionalFormatting sqref="R104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{E4F9C2BF-F368-45C0-9F67-A675D442A04D}</x14:id>
        </ext>
      </extLst>
    </cfRule>
  </conditionalFormatting>
  <conditionalFormatting sqref="R106:R145">
    <cfRule type="dataBar" priority="3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{FD8965D0-A79C-4032-948F-31A438BE04F5}</x14:id>
        </ext>
      </extLst>
    </cfRule>
    <cfRule type="dataBar" priority="3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{A44DBA19-4F8C-4E7C-9A15-0F5EFE97F5B3}</x14:id>
        </ext>
      </extLst>
    </cfRule>
  </conditionalFormatting>
  <conditionalFormatting sqref="R146 R105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{6544BD0E-187D-42AC-BA03-1CCC74FA9E88}</x14:id>
        </ext>
      </extLst>
    </cfRule>
  </conditionalFormatting>
  <conditionalFormatting sqref="R147:R166">
    <cfRule type="dataBar" priority="3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{6E05DB2C-DC92-463A-98E6-175319D7E369}</x14:id>
        </ext>
      </extLst>
    </cfRule>
    <cfRule type="dataBar" priority="3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{CC308AAE-E9DC-47E4-A79E-1BE1FCB99F91}</x14:id>
        </ext>
      </extLst>
    </cfRule>
  </conditionalFormatting>
  <conditionalFormatting sqref="R168:R179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{CA938F3B-098A-4507-8E23-ABDD93BAB5B7}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{978EFCB6-70DD-4D91-8198-D5CDFCCD4CDC}</x14:id>
        </ext>
      </extLst>
    </cfRule>
  </conditionalFormatting>
  <conditionalFormatting sqref="R180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{0F48AB71-C12A-4011-A3D7-FEF00530A7E3}</x14:id>
        </ext>
      </extLst>
    </cfRule>
  </conditionalFormatting>
  <conditionalFormatting sqref="R181 R18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{1D191662-D23C-4CF2-88D7-448590454D12}</x14:id>
        </ext>
      </extLst>
    </cfRule>
  </conditionalFormatting>
  <conditionalFormatting sqref="R182:R185">
    <cfRule type="dataBar" priority="3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{C80B8098-8B25-45A3-A5B1-48D10D4EE6D8}</x14:id>
        </ext>
      </extLst>
    </cfRule>
  </conditionalFormatting>
  <conditionalFormatting sqref="R187:R188">
    <cfRule type="dataBar" priority="3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{32A59108-8C67-4CF9-B83F-986BECE5285D}</x14:id>
        </ext>
      </extLst>
    </cfRule>
  </conditionalFormatting>
  <conditionalFormatting sqref="R189:R190">
    <cfRule type="dataBar" priority="2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{3CB0E3DE-682A-45EE-8C57-E69EFD36E888}</x14:id>
        </ext>
      </extLst>
    </cfRule>
  </conditionalFormatting>
  <conditionalFormatting sqref="R191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{E917C995-793C-427D-B40A-32ECE152E073}</x14:id>
        </ext>
      </extLst>
    </cfRule>
  </conditionalFormatting>
  <conditionalFormatting sqref="R192:R199">
    <cfRule type="dataBar" priority="3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{E92372A5-DBF0-4A36-A106-E324D56DCBCE}</x14:id>
        </ext>
      </extLst>
    </cfRule>
  </conditionalFormatting>
  <conditionalFormatting sqref="R200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{CA0D0A76-D041-41EC-9D20-E36AEE1B6E1A}</x14:id>
        </ext>
      </extLst>
    </cfRule>
  </conditionalFormatting>
  <conditionalFormatting sqref="R202:R2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{F7DBF965-A533-49F8-966A-85F98CD4B0B2}</x14:id>
        </ext>
      </extLst>
    </cfRule>
  </conditionalFormatting>
  <conditionalFormatting sqref="R205 R217 R201 R209 R213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{154FE01C-EC9C-483C-A451-3A82C7E3DAFF}</x14:id>
        </ext>
      </extLst>
    </cfRule>
  </conditionalFormatting>
  <conditionalFormatting sqref="R206:R20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{860FF67D-23B7-4239-A18C-6E3D1BDB040B}</x14:id>
        </ext>
      </extLst>
    </cfRule>
  </conditionalFormatting>
  <conditionalFormatting sqref="R210:R21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{11AE38C7-5C44-4F97-BF5B-8DA8852F293C}</x14:id>
        </ext>
      </extLst>
    </cfRule>
  </conditionalFormatting>
  <conditionalFormatting sqref="R214:R21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{D1691939-5648-491C-8759-4D94F1AB34CA}</x14:id>
        </ext>
      </extLst>
    </cfRule>
  </conditionalFormatting>
  <conditionalFormatting sqref="R218:R22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{E716C3C3-0B30-44B2-AC1C-B5CA13D467E1}</x14:id>
        </ext>
      </extLst>
    </cfRule>
  </conditionalFormatting>
  <conditionalFormatting sqref="R2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{88CD66D0-7753-4995-A2EE-580DED8A32EE}</x14:id>
        </ext>
      </extLst>
    </cfRule>
  </conditionalFormatting>
  <conditionalFormatting sqref="R22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{18C68163-9386-48F0-9835-1EFA1707C83E}</x14:id>
        </ext>
      </extLst>
    </cfRule>
  </conditionalFormatting>
  <conditionalFormatting sqref="R223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{2E6BDDB6-33A1-4663-9269-FD467EC85A60}</x14:id>
        </ext>
      </extLst>
    </cfRule>
  </conditionalFormatting>
  <conditionalFormatting sqref="R224:R22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{71811B1A-BC89-4BC3-B791-4FA9C4C62E4B}</x14:id>
        </ext>
      </extLst>
    </cfRule>
  </conditionalFormatting>
  <conditionalFormatting sqref="R228:R2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{0516C6E4-18A3-49CE-8111-0C8C4191D619}</x14:id>
        </ext>
      </extLst>
    </cfRule>
  </conditionalFormatting>
  <conditionalFormatting sqref="R231:R236 R227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{D3ABCD55-4D90-4AA2-97E8-F78DE413342A}</x14:id>
        </ext>
      </extLst>
    </cfRule>
  </conditionalFormatting>
  <conditionalFormatting sqref="R23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{BDAD82AD-657C-4799-BE11-28865339B727}</x14:id>
        </ext>
      </extLst>
    </cfRule>
  </conditionalFormatting>
  <conditionalFormatting sqref="R240:R241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{F759990A-337A-4EA9-8A5A-96C4EA0D58DA}</x14:id>
        </ext>
      </extLst>
    </cfRule>
  </conditionalFormatting>
  <conditionalFormatting sqref="R2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{ED611F11-1FDD-4171-804B-547FE4A3C69A}</x14:id>
        </ext>
      </extLst>
    </cfRule>
  </conditionalFormatting>
  <conditionalFormatting sqref="R243:R247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{30E515C7-4C47-4F9F-9357-096A28862738}</x14:id>
        </ext>
      </extLst>
    </cfRule>
  </conditionalFormatting>
  <conditionalFormatting sqref="R248:R253 R237:R238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{3071AD4D-7402-4C13-A8A6-3B88BAD4EB8F}</x14:id>
        </ext>
      </extLst>
    </cfRule>
  </conditionalFormatting>
  <conditionalFormatting sqref="R254:R256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{653C3E3F-15FA-4AAA-A322-83200787A728}</x14:id>
        </ext>
      </extLst>
    </cfRule>
  </conditionalFormatting>
  <conditionalFormatting sqref="R257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{D9AF30F6-C593-48F9-9137-DC45DCA11F3B}</x14:id>
        </ext>
      </extLst>
    </cfRule>
  </conditionalFormatting>
  <conditionalFormatting sqref="R25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{44999CD4-5AED-4024-AE74-86172051E94B}</x14:id>
        </ext>
      </extLst>
    </cfRule>
  </conditionalFormatting>
  <conditionalFormatting sqref="R259:R261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{AC194056-DE4F-4855-AC2E-912F77485D66}</x14:id>
        </ext>
      </extLst>
    </cfRule>
  </conditionalFormatting>
  <conditionalFormatting sqref="R26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{2E82BBF8-EC91-43EE-AECB-BC8EFE9003E6}</x14:id>
        </ext>
      </extLst>
    </cfRule>
  </conditionalFormatting>
  <conditionalFormatting sqref="R26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{3CC535F9-53FA-411F-B5FF-4FB01D2BC218}</x14:id>
        </ext>
      </extLst>
    </cfRule>
  </conditionalFormatting>
  <conditionalFormatting sqref="R26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{F7067A6A-EED8-4D6E-B47D-F0E641F8F0C1}</x14:id>
        </ext>
      </extLst>
    </cfRule>
  </conditionalFormatting>
  <conditionalFormatting sqref="R27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{62976C7B-4770-471A-AFBA-205787DCB6DA}</x14:id>
        </ext>
      </extLst>
    </cfRule>
  </conditionalFormatting>
  <conditionalFormatting sqref="R27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{2AAB4C0E-E37A-4BFB-90A7-BA2E0FF55F27}</x14:id>
        </ext>
      </extLst>
    </cfRule>
  </conditionalFormatting>
  <conditionalFormatting sqref="R276:R277 R264:R266 R268:R270 R272:R27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{95F13489-DB45-41D2-9C10-2347A52EDB86}</x14:id>
        </ext>
      </extLst>
    </cfRule>
  </conditionalFormatting>
  <conditionalFormatting sqref="R278:R28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{04B8773B-D6E4-4160-984C-364736489DA8}</x14:id>
        </ext>
      </extLst>
    </cfRule>
  </conditionalFormatting>
  <conditionalFormatting sqref="R281:R28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{A860D37E-5A8C-4D04-A8F3-DAB4593FDD2B}</x14:id>
        </ext>
      </extLst>
    </cfRule>
  </conditionalFormatting>
  <conditionalFormatting sqref="R283:R28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{2B4C57DD-3FD5-40E3-AB74-0F89712CC47F}</x14:id>
        </ext>
      </extLst>
    </cfRule>
  </conditionalFormatting>
  <conditionalFormatting sqref="R2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{404F2329-7C38-43CF-B9F0-E969A4EC4C5D}</x14:id>
        </ext>
      </extLst>
    </cfRule>
  </conditionalFormatting>
  <conditionalFormatting sqref="U10:U17">
    <cfRule type="dataBar" priority="2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{AF48C717-103F-4FAF-9217-4DB12C4044F5}</x14:id>
        </ext>
      </extLst>
    </cfRule>
  </conditionalFormatting>
  <conditionalFormatting sqref="U18"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{00801A76-9FA7-4115-A31A-468BE86FD7EB}</x14:id>
        </ext>
      </extLst>
    </cfRule>
  </conditionalFormatting>
  <conditionalFormatting sqref="U19"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{00EE298E-6B1C-405A-9C7F-46C56BDD1B7C}</x14:id>
        </ext>
      </extLst>
    </cfRule>
  </conditionalFormatting>
  <conditionalFormatting sqref="U20">
    <cfRule type="dataBar" priority="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{D589EC9B-83CB-46EC-B637-C52A9843912D}</x14:id>
        </ext>
      </extLst>
    </cfRule>
  </conditionalFormatting>
  <conditionalFormatting sqref="U21 U42"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{019381AF-B4EB-43AB-BF67-1E2E5B574188}</x14:id>
        </ext>
      </extLst>
    </cfRule>
  </conditionalFormatting>
  <conditionalFormatting sqref="U22:U41">
    <cfRule type="dataBar" priority="29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{2B52BBFC-2D78-4A53-A4C8-A15FFF2AE9D8}</x14:id>
        </ext>
      </extLst>
    </cfRule>
  </conditionalFormatting>
  <conditionalFormatting sqref="U43:U46">
    <cfRule type="dataBar" priority="2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{E09861B7-623D-483E-A90C-931DFDE1AEEE}</x14:id>
        </ext>
      </extLst>
    </cfRule>
  </conditionalFormatting>
  <conditionalFormatting sqref="U47"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{C32D3563-F458-40AA-8B9B-CE9ABC080BF5}</x14:id>
        </ext>
      </extLst>
    </cfRule>
  </conditionalFormatting>
  <conditionalFormatting sqref="U48">
    <cfRule type="dataBar" priority="29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{291B1F27-8E84-4159-8AB0-50DE65BAE8D1}</x14:id>
        </ext>
      </extLst>
    </cfRule>
  </conditionalFormatting>
  <conditionalFormatting sqref="U52">
    <cfRule type="dataBar" priority="3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{2A14DAC3-3785-4FC1-BC79-810A6FCADB34}</x14:id>
        </ext>
      </extLst>
    </cfRule>
  </conditionalFormatting>
  <conditionalFormatting sqref="U53:U54">
    <cfRule type="dataBar" priority="3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{E5AA03C9-7CDC-45B2-8E3D-5BD5E3DB6EC5}</x14:id>
        </ext>
      </extLst>
    </cfRule>
  </conditionalFormatting>
  <conditionalFormatting sqref="U55:U72"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{FE618D78-30C9-4531-90E5-842FD2F79EF5}</x14:id>
        </ext>
      </extLst>
    </cfRule>
  </conditionalFormatting>
  <conditionalFormatting sqref="U73:U103 U49:U51">
    <cfRule type="dataBar" priority="36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{8687464D-F9A9-4C4F-A589-8E7BED0F6B3F}</x14:id>
        </ext>
      </extLst>
    </cfRule>
  </conditionalFormatting>
  <conditionalFormatting sqref="U104"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{62728A8E-A511-404A-BC2A-D7D094904419}</x14:id>
        </ext>
      </extLst>
    </cfRule>
  </conditionalFormatting>
  <conditionalFormatting sqref="U106:U145">
    <cfRule type="dataBar" priority="3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{54594B6C-4791-46D4-9DB6-D2501FEF1B1C}</x14:id>
        </ext>
      </extLst>
    </cfRule>
  </conditionalFormatting>
  <conditionalFormatting sqref="U146 U105"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{3DB93F7A-F976-4926-BDA3-D5A412E706BE}</x14:id>
        </ext>
      </extLst>
    </cfRule>
  </conditionalFormatting>
  <conditionalFormatting sqref="U147:U166">
    <cfRule type="dataBar" priority="34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{2D96AD24-1A2E-466A-8526-C289DACD933D}</x14:id>
        </ext>
      </extLst>
    </cfRule>
  </conditionalFormatting>
  <conditionalFormatting sqref="U167"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{751F63A8-F710-4524-8F68-AF2D9B261E50}</x14:id>
        </ext>
      </extLst>
    </cfRule>
  </conditionalFormatting>
  <conditionalFormatting sqref="U168"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{230FA09D-60DA-4139-988E-3E68709A0A4C}</x14:id>
        </ext>
      </extLst>
    </cfRule>
  </conditionalFormatting>
  <conditionalFormatting sqref="U169:U179"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{CA653864-5596-4137-A3E1-840888D59329}</x14:id>
        </ext>
      </extLst>
    </cfRule>
  </conditionalFormatting>
  <conditionalFormatting sqref="U180"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{A2F00125-1E9C-4432-BF03-BC6E220C838C}</x14:id>
        </ext>
      </extLst>
    </cfRule>
  </conditionalFormatting>
  <conditionalFormatting sqref="U182:U185">
    <cfRule type="dataBar" priority="3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{E86E80C2-664B-4035-9943-7CB47B29726A}</x14:id>
        </ext>
      </extLst>
    </cfRule>
  </conditionalFormatting>
  <conditionalFormatting sqref="U186:U188 U181">
    <cfRule type="dataBar" priority="3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{A5B1F9B6-FA45-4C3D-B045-84AE192992A1}</x14:id>
        </ext>
      </extLst>
    </cfRule>
  </conditionalFormatting>
  <conditionalFormatting sqref="U189:U190">
    <cfRule type="dataBar" priority="26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{D21A69D7-1D05-45EB-9AEF-3ACDF19109BE}</x14:id>
        </ext>
      </extLst>
    </cfRule>
  </conditionalFormatting>
  <conditionalFormatting sqref="U191">
    <cfRule type="dataBar" priority="2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{5B209366-68ED-49B7-8B7A-2A05ECDFF71B}</x14:id>
        </ext>
      </extLst>
    </cfRule>
  </conditionalFormatting>
  <conditionalFormatting sqref="U192:U199">
    <cfRule type="dataBar" priority="3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{870C2D71-CF05-43D2-8ED8-4B94E37B5C54}</x14:id>
        </ext>
      </extLst>
    </cfRule>
  </conditionalFormatting>
  <conditionalFormatting sqref="U200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{6D430E1F-67CA-4DDE-B599-226040EABEF5}</x14:id>
        </ext>
      </extLst>
    </cfRule>
  </conditionalFormatting>
  <conditionalFormatting sqref="U202:U204"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{AE9B72FB-6364-42AB-BA7B-50A67F18F9B7}</x14:id>
        </ext>
      </extLst>
    </cfRule>
  </conditionalFormatting>
  <conditionalFormatting sqref="U206:U208">
    <cfRule type="dataBar" priority="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{038C59DB-A805-459A-A077-F2129868818B}</x14:id>
        </ext>
      </extLst>
    </cfRule>
  </conditionalFormatting>
  <conditionalFormatting sqref="U210:U212">
    <cfRule type="dataBar" priority="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{70D3D60C-4C89-4DE5-94FE-929F67965B9F}</x14:id>
        </ext>
      </extLst>
    </cfRule>
  </conditionalFormatting>
  <conditionalFormatting sqref="U214:U216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{CABFC339-82EE-451B-95EF-635EA5462E96}</x14:id>
        </ext>
      </extLst>
    </cfRule>
  </conditionalFormatting>
  <conditionalFormatting sqref="U217 U205 U201 U209 U213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{E4C65FA0-8240-4217-97AA-1BE14441EE30}</x14:id>
        </ext>
      </extLst>
    </cfRule>
  </conditionalFormatting>
  <conditionalFormatting sqref="U218:U220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{0914B545-8007-4C8D-9245-ACDC40DB135D}</x14:id>
        </ext>
      </extLst>
    </cfRule>
  </conditionalFormatting>
  <conditionalFormatting sqref="U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{E1DFB949-4F3E-4B71-A816-0ED531BD5189}</x14:id>
        </ext>
      </extLst>
    </cfRule>
  </conditionalFormatting>
  <conditionalFormatting sqref="U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{4319D47B-A18D-4545-BF0B-BF62412CF934}</x14:id>
        </ext>
      </extLst>
    </cfRule>
  </conditionalFormatting>
  <conditionalFormatting sqref="U223"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{24443F5A-4CD3-44C7-BE6F-95A3EAAB76AD}</x14:id>
        </ext>
      </extLst>
    </cfRule>
  </conditionalFormatting>
  <conditionalFormatting sqref="U224:U226">
    <cfRule type="dataBar" priority="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{76481E0D-5C5D-4AA3-99D8-2298D99C478D}</x14:id>
        </ext>
      </extLst>
    </cfRule>
  </conditionalFormatting>
  <conditionalFormatting sqref="U227 U231">
    <cfRule type="dataBar" priority="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{464CA977-37B7-48E7-8A2D-F31E17E5E451}</x14:id>
        </ext>
      </extLst>
    </cfRule>
  </conditionalFormatting>
  <conditionalFormatting sqref="U228:U23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{88FD1AAF-FB6C-490D-85D3-D94FB0472E4D}</x14:id>
        </ext>
      </extLst>
    </cfRule>
  </conditionalFormatting>
  <conditionalFormatting sqref="U232:U234">
    <cfRule type="dataBar" priority="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{85BAB23A-2FF2-43F4-A0D3-3B210DF4778A}</x14:id>
        </ext>
      </extLst>
    </cfRule>
  </conditionalFormatting>
  <conditionalFormatting sqref="U235:U23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{684588E2-7880-4837-A8BD-CF6CACB2445F}</x14:id>
        </ext>
      </extLst>
    </cfRule>
  </conditionalFormatting>
  <conditionalFormatting sqref="U240:U241"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{7D363F7E-555A-46FC-AF66-8A9A68FA260C}</x14:id>
        </ext>
      </extLst>
    </cfRule>
  </conditionalFormatting>
  <conditionalFormatting sqref="U243:U247"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{F732B2F7-21A1-4565-A6D1-09748264F6B7}</x14:id>
        </ext>
      </extLst>
    </cfRule>
  </conditionalFormatting>
  <conditionalFormatting sqref="U248:U253 U237:U239 U242">
    <cfRule type="dataBar" priority="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{A06CF36F-AFB1-47C2-97F3-6D1694BAC00E}</x14:id>
        </ext>
      </extLst>
    </cfRule>
  </conditionalFormatting>
  <conditionalFormatting sqref="U254:U256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{AD0633A5-7E47-4EBC-BAC2-C49B7CC5E449}</x14:id>
        </ext>
      </extLst>
    </cfRule>
  </conditionalFormatting>
  <conditionalFormatting sqref="U257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{403DB7D8-2A2E-4179-9F4F-6D7595178D02}</x14:id>
        </ext>
      </extLst>
    </cfRule>
  </conditionalFormatting>
  <conditionalFormatting sqref="U259:U261">
    <cfRule type="dataBar" priority="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{D8C79DFC-4992-4CBB-BA9B-31017ACB2C14}</x14:id>
        </ext>
      </extLst>
    </cfRule>
  </conditionalFormatting>
  <conditionalFormatting sqref="U26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{F7E50554-919F-4B32-BDC5-CF2F4203AF27}</x14:id>
        </ext>
      </extLst>
    </cfRule>
  </conditionalFormatting>
  <conditionalFormatting sqref="U263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{D9F14A33-3A93-435C-98D1-CD3E501B9808}</x14:id>
        </ext>
      </extLst>
    </cfRule>
  </conditionalFormatting>
  <conditionalFormatting sqref="U264:U277">
    <cfRule type="dataBar" priority="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{C02B1435-77AC-4F60-A4E1-5EBF6CC85B2F}</x14:id>
        </ext>
      </extLst>
    </cfRule>
  </conditionalFormatting>
  <conditionalFormatting sqref="U278:U28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{920791C0-D5CF-4065-8749-9CFED6F98D7D}</x14:id>
        </ext>
      </extLst>
    </cfRule>
  </conditionalFormatting>
  <conditionalFormatting sqref="U28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{A366A874-221E-4875-84F2-430A0F39B6DF}</x14:id>
        </ext>
      </extLst>
    </cfRule>
  </conditionalFormatting>
  <conditionalFormatting sqref="U283:U284 U281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{6FC01828-EE2D-4C1B-8B56-77508FA0A45F}</x14:id>
        </ext>
      </extLst>
    </cfRule>
  </conditionalFormatting>
  <conditionalFormatting sqref="U285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{34C70C1D-9520-4617-8C9E-40017D3C3C4E}</x14:id>
        </ext>
      </extLst>
    </cfRule>
  </conditionalFormatting>
  <conditionalFormatting sqref="Z9:Z257 Z259:Z285">
    <cfRule type="cellIs" dxfId="0" priority="16" operator="lessThan">
      <formula>0</formula>
    </cfRule>
  </conditionalFormatting>
  <conditionalFormatting sqref="AA26:AA27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{F08B130B-107D-4570-A1A9-3319361BEBED}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{ADA00ACD-EBB5-4C3C-AEFA-6C50439AC431}</x14:id>
        </ext>
      </extLst>
    </cfRule>
  </conditionalFormatting>
  <conditionalFormatting sqref="AA2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{5184D819-66A7-4913-AE67-074FCD89E976}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{F1099E59-9F46-4330-BCC3-58BB030BC0C4}</x14:id>
        </ext>
      </extLst>
    </cfRule>
  </conditionalFormatting>
  <conditionalFormatting sqref="AA29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{77C0B6B0-FC4B-4BD7-934B-C5E6DAFBD90B}</x14:id>
        </ext>
      </extLst>
    </cfRule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{1A1621A2-3C9D-4537-95D5-01BCBB9DFE90}</x14:id>
        </ext>
      </extLst>
    </cfRule>
  </conditionalFormatting>
  <conditionalFormatting sqref="AA31">
    <cfRule type="dataBar" priority="2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{B35BEB36-0BC4-486F-BCF4-821AE025FD08}</x14:id>
        </ext>
      </extLst>
    </cfRule>
    <cfRule type="dataBar" priority="2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{5D9B3C3E-AAB2-4A14-A10A-F242BE5E58B6}</x14:id>
        </ext>
      </extLst>
    </cfRule>
  </conditionalFormatting>
  <conditionalFormatting sqref="AA32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{66E78AD7-8F59-4528-8458-4CBD380CB07A}</x14:id>
        </ext>
      </extLst>
    </cfRule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{C9375036-B0C8-491E-ADE3-8704B194BCA9}</x14:id>
        </ext>
      </extLst>
    </cfRule>
  </conditionalFormatting>
  <conditionalFormatting sqref="AA33:AA34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{31EFA275-A2F3-44BA-974D-75B8B14E97C5}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{C5FD9BBE-82EC-4D7B-89F9-8A8A0857FBF1}</x14:id>
        </ext>
      </extLst>
    </cfRule>
  </conditionalFormatting>
  <conditionalFormatting sqref="AA36:AA38">
    <cfRule type="dataBar" priority="2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{5EB5C8D4-8A51-4824-B0DA-F2BFBE0A257D}</x14:id>
        </ext>
      </extLst>
    </cfRule>
    <cfRule type="dataBar" priority="2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{19784EE0-B6FB-46C6-9778-4FEB85AF7503}</x14:id>
        </ext>
      </extLst>
    </cfRule>
  </conditionalFormatting>
  <conditionalFormatting sqref="AA44:AA46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{B39D67F3-105E-42F8-BEBC-0DFD9A11B0F0}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{F7FE625F-5BA4-4528-AAD2-846318BF769A}</x14:id>
        </ext>
      </extLst>
    </cfRule>
  </conditionalFormatting>
  <conditionalFormatting sqref="AA47">
    <cfRule type="dataBar" priority="3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{A0A476EC-03CB-416E-A25E-E7308B51DA18}</x14:id>
        </ext>
      </extLst>
    </cfRule>
    <cfRule type="dataBar" priority="3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{E3B3AD20-4626-419F-8FC8-611838C4553D}</x14:id>
        </ext>
      </extLst>
    </cfRule>
  </conditionalFormatting>
  <conditionalFormatting sqref="AA52">
    <cfRule type="dataBar" priority="3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{7BF66C7C-9623-4B7F-9E06-A628B0EF38EC}</x14:id>
        </ext>
      </extLst>
    </cfRule>
    <cfRule type="dataBar" priority="3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{0AA5DBC6-258A-4078-B359-D0865B49F0B2}</x14:id>
        </ext>
      </extLst>
    </cfRule>
  </conditionalFormatting>
  <conditionalFormatting sqref="AA53:AA54">
    <cfRule type="dataBar" priority="3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{07C6B8F1-0358-4FED-84D1-F6B588FF5F31}</x14:id>
        </ext>
      </extLst>
    </cfRule>
    <cfRule type="dataBar" priority="3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{482DD5CA-F2E8-4CDB-BA13-15E83B6822BE}</x14:id>
        </ext>
      </extLst>
    </cfRule>
  </conditionalFormatting>
  <conditionalFormatting sqref="AA55:AA72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{74E3ACD0-D17F-4C4C-80C4-0340359EDC75}</x14:id>
        </ext>
      </extLst>
    </cfRule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{3D8D2D8E-4114-4A21-9C3F-F132EE35ED95}</x14:id>
        </ext>
      </extLst>
    </cfRule>
  </conditionalFormatting>
  <conditionalFormatting sqref="AA73:AA103 AA49:AA51">
    <cfRule type="dataBar" priority="3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{C6101ECC-9FEC-4FB7-9D18-233717A9A190}</x14:id>
        </ext>
      </extLst>
    </cfRule>
    <cfRule type="dataBar" priority="3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{2F027B2A-E7DB-4556-84CC-72009436DC19}</x14:id>
        </ext>
      </extLst>
    </cfRule>
  </conditionalFormatting>
  <conditionalFormatting sqref="AA125:AA145">
    <cfRule type="dataBar" priority="2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{C39569AF-4CFD-40DB-9BAF-9731BB743501}</x14:id>
        </ext>
      </extLst>
    </cfRule>
    <cfRule type="dataBar" priority="2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{CEA2427A-3C78-4A95-B4CA-E8B03A319AF5}</x14:id>
        </ext>
      </extLst>
    </cfRule>
  </conditionalFormatting>
  <conditionalFormatting sqref="AA162:AA166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{A6BFD6B8-ABBF-4DE3-8505-708E5EFD8E37}</x14:id>
        </ext>
      </extLst>
    </cfRule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{729402D8-5894-45A8-B247-9EE4059C03A6}</x14:id>
        </ext>
      </extLst>
    </cfRule>
  </conditionalFormatting>
  <conditionalFormatting sqref="AA169:AA179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{D60CD6DE-8148-4A2C-8387-9B8B2DD4218D}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{6B39A5D7-57A6-4867-BE51-E4AB825F550C}</x14:id>
        </ext>
      </extLst>
    </cfRule>
  </conditionalFormatting>
  <pageMargins left="0.69972223043441772" right="0.69972223043441772" top="0.75" bottom="0.75" header="0.30000001192092896" footer="0.30000001192092896"/>
  <pageSetup paperSize="9" fitToWidth="0"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3508D9-C028-42D8-8E83-BB917714440E}">
            <x14:dataBar direction="leftToRight">
              <x14:cfvo type="min"/>
              <x14:cfvo type="max"/>
              <x14:negativeFillColor auto="1"/>
              <x14:axisColor auto="1"/>
            </x14:dataBar>
          </x14:cfRule>
          <x14:cfRule type="dataBar" id="{27207075-518A-4EE0-B478-9FDE24896CA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Q167:R167</xm:sqref>
        </x14:conditionalFormatting>
        <x14:conditionalFormatting xmlns:xm="http://schemas.microsoft.com/office/excel/2006/main">
          <x14:cfRule type="dataBar" id="{03956DBE-4882-4D25-B6BB-54B9A80F4BA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R9:R18</xm:sqref>
        </x14:conditionalFormatting>
        <x14:conditionalFormatting xmlns:xm="http://schemas.microsoft.com/office/excel/2006/main">
          <x14:cfRule type="dataBar" id="{C15C090C-45BB-4D57-BCC9-D52CA4920D9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A13E4C-F1F1-4850-B100-9BB36D8721DC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97E0B651-F3D7-4A53-A77F-3E4448D1F216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E5B5610-80E5-40DD-A4AB-ADC0A0F9262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R21 R42</xm:sqref>
        </x14:conditionalFormatting>
        <x14:conditionalFormatting xmlns:xm="http://schemas.microsoft.com/office/excel/2006/main">
          <x14:cfRule type="dataBar" id="{C10880DA-FBBD-4B04-989B-382D23EEDDFB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95E54942-C4B8-48CF-8B42-A9160BE4352F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R22:R41</xm:sqref>
        </x14:conditionalFormatting>
        <x14:conditionalFormatting xmlns:xm="http://schemas.microsoft.com/office/excel/2006/main">
          <x14:cfRule type="dataBar" id="{7A1475F0-ED5D-4FDB-A023-D98EAAAB453A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38546053-49B7-4429-8752-53BDCB732BA2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R43:R46</xm:sqref>
        </x14:conditionalFormatting>
        <x14:conditionalFormatting xmlns:xm="http://schemas.microsoft.com/office/excel/2006/main">
          <x14:cfRule type="dataBar" id="{4B4FC9EB-ECEC-405E-B798-5F069BECE800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5DBEAF0E-D561-4107-AA83-5002A5101579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803C0813-8DA6-4193-A3FA-AA9498C2065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A222E76D-2676-4124-99C6-4D1968F19704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C026E962-2359-42CB-A10D-D292BBF8AC3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8D7C2860-72FF-41FA-8610-053F783433D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95458ED6-9F3D-4CA0-805F-9976AE098C86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R53:R54</xm:sqref>
        </x14:conditionalFormatting>
        <x14:conditionalFormatting xmlns:xm="http://schemas.microsoft.com/office/excel/2006/main">
          <x14:cfRule type="dataBar" id="{A71EF53D-EDCD-489B-AFCC-1B6EC9A2373F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25C0F2DB-0C4B-4BAA-8FE6-29E7B8617EC2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R55:R72</xm:sqref>
        </x14:conditionalFormatting>
        <x14:conditionalFormatting xmlns:xm="http://schemas.microsoft.com/office/excel/2006/main">
          <x14:cfRule type="dataBar" id="{423C79E1-D521-4F82-B1A3-370A76D38C0F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DE5BDD8B-008E-4184-A24E-30ABDE8BE71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R73:R103 R49:R51</xm:sqref>
        </x14:conditionalFormatting>
        <x14:conditionalFormatting xmlns:xm="http://schemas.microsoft.com/office/excel/2006/main">
          <x14:cfRule type="dataBar" id="{E4F9C2BF-F368-45C0-9F67-A675D442A04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R104</xm:sqref>
        </x14:conditionalFormatting>
        <x14:conditionalFormatting xmlns:xm="http://schemas.microsoft.com/office/excel/2006/main">
          <x14:cfRule type="dataBar" id="{FD8965D0-A79C-4032-948F-31A438BE04F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A44DBA19-4F8C-4E7C-9A15-0F5EFE97F5B3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R106:R145</xm:sqref>
        </x14:conditionalFormatting>
        <x14:conditionalFormatting xmlns:xm="http://schemas.microsoft.com/office/excel/2006/main">
          <x14:cfRule type="dataBar" id="{6544BD0E-187D-42AC-BA03-1CCC74FA9E8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R146 R105</xm:sqref>
        </x14:conditionalFormatting>
        <x14:conditionalFormatting xmlns:xm="http://schemas.microsoft.com/office/excel/2006/main">
          <x14:cfRule type="dataBar" id="{6E05DB2C-DC92-463A-98E6-175319D7E369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CC308AAE-E9DC-47E4-A79E-1BE1FCB99F9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R147:R166</xm:sqref>
        </x14:conditionalFormatting>
        <x14:conditionalFormatting xmlns:xm="http://schemas.microsoft.com/office/excel/2006/main">
          <x14:cfRule type="dataBar" id="{CA938F3B-098A-4507-8E23-ABDD93BAB5B7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978EFCB6-70DD-4D91-8198-D5CDFCCD4CDC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R168:R179</xm:sqref>
        </x14:conditionalFormatting>
        <x14:conditionalFormatting xmlns:xm="http://schemas.microsoft.com/office/excel/2006/main">
          <x14:cfRule type="dataBar" id="{0F48AB71-C12A-4011-A3D7-FEF00530A7E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R180</xm:sqref>
        </x14:conditionalFormatting>
        <x14:conditionalFormatting xmlns:xm="http://schemas.microsoft.com/office/excel/2006/main">
          <x14:cfRule type="dataBar" id="{1D191662-D23C-4CF2-88D7-448590454D1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R181 R186</xm:sqref>
        </x14:conditionalFormatting>
        <x14:conditionalFormatting xmlns:xm="http://schemas.microsoft.com/office/excel/2006/main">
          <x14:cfRule type="dataBar" id="{C80B8098-8B25-45A3-A5B1-48D10D4EE6D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R182:R185</xm:sqref>
        </x14:conditionalFormatting>
        <x14:conditionalFormatting xmlns:xm="http://schemas.microsoft.com/office/excel/2006/main">
          <x14:cfRule type="dataBar" id="{32A59108-8C67-4CF9-B83F-986BECE528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R187:R188</xm:sqref>
        </x14:conditionalFormatting>
        <x14:conditionalFormatting xmlns:xm="http://schemas.microsoft.com/office/excel/2006/main">
          <x14:cfRule type="dataBar" id="{3CB0E3DE-682A-45EE-8C57-E69EFD36E88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R189:R190</xm:sqref>
        </x14:conditionalFormatting>
        <x14:conditionalFormatting xmlns:xm="http://schemas.microsoft.com/office/excel/2006/main">
          <x14:cfRule type="dataBar" id="{E917C995-793C-427D-B40A-32ECE152E0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R191</xm:sqref>
        </x14:conditionalFormatting>
        <x14:conditionalFormatting xmlns:xm="http://schemas.microsoft.com/office/excel/2006/main">
          <x14:cfRule type="dataBar" id="{E92372A5-DBF0-4A36-A106-E324D56DCBC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R192:R199</xm:sqref>
        </x14:conditionalFormatting>
        <x14:conditionalFormatting xmlns:xm="http://schemas.microsoft.com/office/excel/2006/main">
          <x14:cfRule type="dataBar" id="{CA0D0A76-D041-41EC-9D20-E36AEE1B6E1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R200</xm:sqref>
        </x14:conditionalFormatting>
        <x14:conditionalFormatting xmlns:xm="http://schemas.microsoft.com/office/excel/2006/main">
          <x14:cfRule type="dataBar" id="{F7DBF965-A533-49F8-966A-85F98CD4B0B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R202:R204</xm:sqref>
        </x14:conditionalFormatting>
        <x14:conditionalFormatting xmlns:xm="http://schemas.microsoft.com/office/excel/2006/main">
          <x14:cfRule type="dataBar" id="{154FE01C-EC9C-483C-A451-3A82C7E3DAF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R205 R217 R201 R209 R213</xm:sqref>
        </x14:conditionalFormatting>
        <x14:conditionalFormatting xmlns:xm="http://schemas.microsoft.com/office/excel/2006/main">
          <x14:cfRule type="dataBar" id="{860FF67D-23B7-4239-A18C-6E3D1BDB040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R206:R208</xm:sqref>
        </x14:conditionalFormatting>
        <x14:conditionalFormatting xmlns:xm="http://schemas.microsoft.com/office/excel/2006/main">
          <x14:cfRule type="dataBar" id="{11AE38C7-5C44-4F97-BF5B-8DA8852F293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R210:R212</xm:sqref>
        </x14:conditionalFormatting>
        <x14:conditionalFormatting xmlns:xm="http://schemas.microsoft.com/office/excel/2006/main">
          <x14:cfRule type="dataBar" id="{D1691939-5648-491C-8759-4D94F1AB34C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R214:R216</xm:sqref>
        </x14:conditionalFormatting>
        <x14:conditionalFormatting xmlns:xm="http://schemas.microsoft.com/office/excel/2006/main">
          <x14:cfRule type="dataBar" id="{E716C3C3-0B30-44B2-AC1C-B5CA13D467E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R218:R220</xm:sqref>
        </x14:conditionalFormatting>
        <x14:conditionalFormatting xmlns:xm="http://schemas.microsoft.com/office/excel/2006/main">
          <x14:cfRule type="dataBar" id="{88CD66D0-7753-4995-A2EE-580DED8A32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R221</xm:sqref>
        </x14:conditionalFormatting>
        <x14:conditionalFormatting xmlns:xm="http://schemas.microsoft.com/office/excel/2006/main">
          <x14:cfRule type="dataBar" id="{18C68163-9386-48F0-9835-1EFA1707C83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R222</xm:sqref>
        </x14:conditionalFormatting>
        <x14:conditionalFormatting xmlns:xm="http://schemas.microsoft.com/office/excel/2006/main">
          <x14:cfRule type="dataBar" id="{2E6BDDB6-33A1-4663-9269-FD467EC85A6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R223</xm:sqref>
        </x14:conditionalFormatting>
        <x14:conditionalFormatting xmlns:xm="http://schemas.microsoft.com/office/excel/2006/main">
          <x14:cfRule type="dataBar" id="{71811B1A-BC89-4BC3-B791-4FA9C4C62E4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R224:R226</xm:sqref>
        </x14:conditionalFormatting>
        <x14:conditionalFormatting xmlns:xm="http://schemas.microsoft.com/office/excel/2006/main">
          <x14:cfRule type="dataBar" id="{0516C6E4-18A3-49CE-8111-0C8C4191D6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R228:R230</xm:sqref>
        </x14:conditionalFormatting>
        <x14:conditionalFormatting xmlns:xm="http://schemas.microsoft.com/office/excel/2006/main">
          <x14:cfRule type="dataBar" id="{D3ABCD55-4D90-4AA2-97E8-F78DE413342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R231:R236 R227</xm:sqref>
        </x14:conditionalFormatting>
        <x14:conditionalFormatting xmlns:xm="http://schemas.microsoft.com/office/excel/2006/main">
          <x14:cfRule type="dataBar" id="{BDAD82AD-657C-4799-BE11-28865339B7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R239</xm:sqref>
        </x14:conditionalFormatting>
        <x14:conditionalFormatting xmlns:xm="http://schemas.microsoft.com/office/excel/2006/main">
          <x14:cfRule type="dataBar" id="{F759990A-337A-4EA9-8A5A-96C4EA0D58D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R240:R241</xm:sqref>
        </x14:conditionalFormatting>
        <x14:conditionalFormatting xmlns:xm="http://schemas.microsoft.com/office/excel/2006/main">
          <x14:cfRule type="dataBar" id="{ED611F11-1FDD-4171-804B-547FE4A3C69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R242</xm:sqref>
        </x14:conditionalFormatting>
        <x14:conditionalFormatting xmlns:xm="http://schemas.microsoft.com/office/excel/2006/main">
          <x14:cfRule type="dataBar" id="{30E515C7-4C47-4F9F-9357-096A2886273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R243:R247</xm:sqref>
        </x14:conditionalFormatting>
        <x14:conditionalFormatting xmlns:xm="http://schemas.microsoft.com/office/excel/2006/main">
          <x14:cfRule type="dataBar" id="{3071AD4D-7402-4C13-A8A6-3B88BAD4EB8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R248:R253 R237:R238</xm:sqref>
        </x14:conditionalFormatting>
        <x14:conditionalFormatting xmlns:xm="http://schemas.microsoft.com/office/excel/2006/main">
          <x14:cfRule type="dataBar" id="{653C3E3F-15FA-4AAA-A322-83200787A72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R254:R256</xm:sqref>
        </x14:conditionalFormatting>
        <x14:conditionalFormatting xmlns:xm="http://schemas.microsoft.com/office/excel/2006/main">
          <x14:cfRule type="dataBar" id="{D9AF30F6-C593-48F9-9137-DC45DCA11F3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R257</xm:sqref>
        </x14:conditionalFormatting>
        <x14:conditionalFormatting xmlns:xm="http://schemas.microsoft.com/office/excel/2006/main">
          <x14:cfRule type="dataBar" id="{44999CD4-5AED-4024-AE74-86172051E94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R258</xm:sqref>
        </x14:conditionalFormatting>
        <x14:conditionalFormatting xmlns:xm="http://schemas.microsoft.com/office/excel/2006/main">
          <x14:cfRule type="dataBar" id="{AC194056-DE4F-4855-AC2E-912F77485D6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R259:R261</xm:sqref>
        </x14:conditionalFormatting>
        <x14:conditionalFormatting xmlns:xm="http://schemas.microsoft.com/office/excel/2006/main">
          <x14:cfRule type="dataBar" id="{2E82BBF8-EC91-43EE-AECB-BC8EFE9003E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R262</xm:sqref>
        </x14:conditionalFormatting>
        <x14:conditionalFormatting xmlns:xm="http://schemas.microsoft.com/office/excel/2006/main">
          <x14:cfRule type="dataBar" id="{3CC535F9-53FA-411F-B5FF-4FB01D2BC21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R263</xm:sqref>
        </x14:conditionalFormatting>
        <x14:conditionalFormatting xmlns:xm="http://schemas.microsoft.com/office/excel/2006/main">
          <x14:cfRule type="dataBar" id="{F7067A6A-EED8-4D6E-B47D-F0E641F8F0C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R267</xm:sqref>
        </x14:conditionalFormatting>
        <x14:conditionalFormatting xmlns:xm="http://schemas.microsoft.com/office/excel/2006/main">
          <x14:cfRule type="dataBar" id="{62976C7B-4770-471A-AFBA-205787DCB6D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R271</xm:sqref>
        </x14:conditionalFormatting>
        <x14:conditionalFormatting xmlns:xm="http://schemas.microsoft.com/office/excel/2006/main">
          <x14:cfRule type="dataBar" id="{2AAB4C0E-E37A-4BFB-90A7-BA2E0FF55F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R275</xm:sqref>
        </x14:conditionalFormatting>
        <x14:conditionalFormatting xmlns:xm="http://schemas.microsoft.com/office/excel/2006/main">
          <x14:cfRule type="dataBar" id="{95F13489-DB45-41D2-9C10-2347A52EDB8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R276:R277 R264:R266 R268:R270 R272:R274</xm:sqref>
        </x14:conditionalFormatting>
        <x14:conditionalFormatting xmlns:xm="http://schemas.microsoft.com/office/excel/2006/main">
          <x14:cfRule type="dataBar" id="{04B8773B-D6E4-4160-984C-364736489DA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R278:R280</xm:sqref>
        </x14:conditionalFormatting>
        <x14:conditionalFormatting xmlns:xm="http://schemas.microsoft.com/office/excel/2006/main">
          <x14:cfRule type="dataBar" id="{A860D37E-5A8C-4D04-A8F3-DAB4593FDD2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R281:R282</xm:sqref>
        </x14:conditionalFormatting>
        <x14:conditionalFormatting xmlns:xm="http://schemas.microsoft.com/office/excel/2006/main">
          <x14:cfRule type="dataBar" id="{2B4C57DD-3FD5-40E3-AB74-0F89712CC47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R283:R284</xm:sqref>
        </x14:conditionalFormatting>
        <x14:conditionalFormatting xmlns:xm="http://schemas.microsoft.com/office/excel/2006/main">
          <x14:cfRule type="dataBar" id="{404F2329-7C38-43CF-B9F0-E969A4EC4C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R285</xm:sqref>
        </x14:conditionalFormatting>
        <x14:conditionalFormatting xmlns:xm="http://schemas.microsoft.com/office/excel/2006/main">
          <x14:cfRule type="dataBar" id="{AF48C717-103F-4FAF-9217-4DB12C4044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U10:U17</xm:sqref>
        </x14:conditionalFormatting>
        <x14:conditionalFormatting xmlns:xm="http://schemas.microsoft.com/office/excel/2006/main">
          <x14:cfRule type="dataBar" id="{00801A76-9FA7-4115-A31A-468BE86FD7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U18</xm:sqref>
        </x14:conditionalFormatting>
        <x14:conditionalFormatting xmlns:xm="http://schemas.microsoft.com/office/excel/2006/main">
          <x14:cfRule type="dataBar" id="{00EE298E-6B1C-405A-9C7F-46C56BDD1B7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U19</xm:sqref>
        </x14:conditionalFormatting>
        <x14:conditionalFormatting xmlns:xm="http://schemas.microsoft.com/office/excel/2006/main">
          <x14:cfRule type="dataBar" id="{D589EC9B-83CB-46EC-B637-C52A9843912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U20</xm:sqref>
        </x14:conditionalFormatting>
        <x14:conditionalFormatting xmlns:xm="http://schemas.microsoft.com/office/excel/2006/main">
          <x14:cfRule type="dataBar" id="{019381AF-B4EB-43AB-BF67-1E2E5B57418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U21 U42</xm:sqref>
        </x14:conditionalFormatting>
        <x14:conditionalFormatting xmlns:xm="http://schemas.microsoft.com/office/excel/2006/main">
          <x14:cfRule type="dataBar" id="{2B52BBFC-2D78-4A53-A4C8-A15FFF2AE9D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U22:U41</xm:sqref>
        </x14:conditionalFormatting>
        <x14:conditionalFormatting xmlns:xm="http://schemas.microsoft.com/office/excel/2006/main">
          <x14:cfRule type="dataBar" id="{E09861B7-623D-483E-A90C-931DFDE1AEE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U43:U46</xm:sqref>
        </x14:conditionalFormatting>
        <x14:conditionalFormatting xmlns:xm="http://schemas.microsoft.com/office/excel/2006/main">
          <x14:cfRule type="dataBar" id="{C32D3563-F458-40AA-8B9B-CE9ABC080B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U47</xm:sqref>
        </x14:conditionalFormatting>
        <x14:conditionalFormatting xmlns:xm="http://schemas.microsoft.com/office/excel/2006/main">
          <x14:cfRule type="dataBar" id="{291B1F27-8E84-4159-8AB0-50DE65BAE8D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U48</xm:sqref>
        </x14:conditionalFormatting>
        <x14:conditionalFormatting xmlns:xm="http://schemas.microsoft.com/office/excel/2006/main">
          <x14:cfRule type="dataBar" id="{2A14DAC3-3785-4FC1-BC79-810A6FCADB3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U52</xm:sqref>
        </x14:conditionalFormatting>
        <x14:conditionalFormatting xmlns:xm="http://schemas.microsoft.com/office/excel/2006/main">
          <x14:cfRule type="dataBar" id="{E5AA03C9-7CDC-45B2-8E3D-5BD5E3DB6E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U53:U54</xm:sqref>
        </x14:conditionalFormatting>
        <x14:conditionalFormatting xmlns:xm="http://schemas.microsoft.com/office/excel/2006/main">
          <x14:cfRule type="dataBar" id="{FE618D78-30C9-4531-90E5-842FD2F79E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U55:U72</xm:sqref>
        </x14:conditionalFormatting>
        <x14:conditionalFormatting xmlns:xm="http://schemas.microsoft.com/office/excel/2006/main">
          <x14:cfRule type="dataBar" id="{8687464D-F9A9-4C4F-A589-8E7BED0F6B3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U73:U103 U49:U51</xm:sqref>
        </x14:conditionalFormatting>
        <x14:conditionalFormatting xmlns:xm="http://schemas.microsoft.com/office/excel/2006/main">
          <x14:cfRule type="dataBar" id="{62728A8E-A511-404A-BC2A-D7D0949044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U104</xm:sqref>
        </x14:conditionalFormatting>
        <x14:conditionalFormatting xmlns:xm="http://schemas.microsoft.com/office/excel/2006/main">
          <x14:cfRule type="dataBar" id="{54594B6C-4791-46D4-9DB6-D2501FEF1B1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U106:U145</xm:sqref>
        </x14:conditionalFormatting>
        <x14:conditionalFormatting xmlns:xm="http://schemas.microsoft.com/office/excel/2006/main">
          <x14:cfRule type="dataBar" id="{3DB93F7A-F976-4926-BDA3-D5A412E706B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U146 U105</xm:sqref>
        </x14:conditionalFormatting>
        <x14:conditionalFormatting xmlns:xm="http://schemas.microsoft.com/office/excel/2006/main">
          <x14:cfRule type="dataBar" id="{2D96AD24-1A2E-466A-8526-C289DACD933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U147:U166</xm:sqref>
        </x14:conditionalFormatting>
        <x14:conditionalFormatting xmlns:xm="http://schemas.microsoft.com/office/excel/2006/main">
          <x14:cfRule type="dataBar" id="{751F63A8-F710-4524-8F68-AF2D9B261E5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U167</xm:sqref>
        </x14:conditionalFormatting>
        <x14:conditionalFormatting xmlns:xm="http://schemas.microsoft.com/office/excel/2006/main">
          <x14:cfRule type="dataBar" id="{230FA09D-60DA-4139-988E-3E68709A0A4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U168</xm:sqref>
        </x14:conditionalFormatting>
        <x14:conditionalFormatting xmlns:xm="http://schemas.microsoft.com/office/excel/2006/main">
          <x14:cfRule type="dataBar" id="{CA653864-5596-4137-A3E1-840888D5932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U169:U179</xm:sqref>
        </x14:conditionalFormatting>
        <x14:conditionalFormatting xmlns:xm="http://schemas.microsoft.com/office/excel/2006/main">
          <x14:cfRule type="dataBar" id="{A2F00125-1E9C-4432-BF03-BC6E220C838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U180</xm:sqref>
        </x14:conditionalFormatting>
        <x14:conditionalFormatting xmlns:xm="http://schemas.microsoft.com/office/excel/2006/main">
          <x14:cfRule type="dataBar" id="{E86E80C2-664B-4035-9943-7CB47B29726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U182:U185</xm:sqref>
        </x14:conditionalFormatting>
        <x14:conditionalFormatting xmlns:xm="http://schemas.microsoft.com/office/excel/2006/main">
          <x14:cfRule type="dataBar" id="{A5B1F9B6-FA45-4C3D-B045-84AE192992A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U186:U188 U181</xm:sqref>
        </x14:conditionalFormatting>
        <x14:conditionalFormatting xmlns:xm="http://schemas.microsoft.com/office/excel/2006/main">
          <x14:cfRule type="dataBar" id="{D21A69D7-1D05-45EB-9AEF-3ACDF19109B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U189:U190</xm:sqref>
        </x14:conditionalFormatting>
        <x14:conditionalFormatting xmlns:xm="http://schemas.microsoft.com/office/excel/2006/main">
          <x14:cfRule type="dataBar" id="{5B209366-68ED-49B7-8B7A-2A05ECDFF71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U191</xm:sqref>
        </x14:conditionalFormatting>
        <x14:conditionalFormatting xmlns:xm="http://schemas.microsoft.com/office/excel/2006/main">
          <x14:cfRule type="dataBar" id="{870C2D71-CF05-43D2-8ED8-4B94E37B5C5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U192:U199</xm:sqref>
        </x14:conditionalFormatting>
        <x14:conditionalFormatting xmlns:xm="http://schemas.microsoft.com/office/excel/2006/main">
          <x14:cfRule type="dataBar" id="{6D430E1F-67CA-4DDE-B599-226040EABEF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U200</xm:sqref>
        </x14:conditionalFormatting>
        <x14:conditionalFormatting xmlns:xm="http://schemas.microsoft.com/office/excel/2006/main">
          <x14:cfRule type="dataBar" id="{AE9B72FB-6364-42AB-BA7B-50A67F18F9B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U202:U204</xm:sqref>
        </x14:conditionalFormatting>
        <x14:conditionalFormatting xmlns:xm="http://schemas.microsoft.com/office/excel/2006/main">
          <x14:cfRule type="dataBar" id="{038C59DB-A805-459A-A077-F2129868818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U206:U208</xm:sqref>
        </x14:conditionalFormatting>
        <x14:conditionalFormatting xmlns:xm="http://schemas.microsoft.com/office/excel/2006/main">
          <x14:cfRule type="dataBar" id="{70D3D60C-4C89-4DE5-94FE-929F67965B9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U210:U212</xm:sqref>
        </x14:conditionalFormatting>
        <x14:conditionalFormatting xmlns:xm="http://schemas.microsoft.com/office/excel/2006/main">
          <x14:cfRule type="dataBar" id="{CABFC339-82EE-451B-95EF-635EA5462E9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U214:U216</xm:sqref>
        </x14:conditionalFormatting>
        <x14:conditionalFormatting xmlns:xm="http://schemas.microsoft.com/office/excel/2006/main">
          <x14:cfRule type="dataBar" id="{E4C65FA0-8240-4217-97AA-1BE14441EE3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U217 U205 U201 U209 U213</xm:sqref>
        </x14:conditionalFormatting>
        <x14:conditionalFormatting xmlns:xm="http://schemas.microsoft.com/office/excel/2006/main">
          <x14:cfRule type="dataBar" id="{0914B545-8007-4C8D-9245-ACDC40DB13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U218:U220</xm:sqref>
        </x14:conditionalFormatting>
        <x14:conditionalFormatting xmlns:xm="http://schemas.microsoft.com/office/excel/2006/main">
          <x14:cfRule type="dataBar" id="{E1DFB949-4F3E-4B71-A816-0ED531BD518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U221</xm:sqref>
        </x14:conditionalFormatting>
        <x14:conditionalFormatting xmlns:xm="http://schemas.microsoft.com/office/excel/2006/main">
          <x14:cfRule type="dataBar" id="{4319D47B-A18D-4545-BF0B-BF62412CF93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U222</xm:sqref>
        </x14:conditionalFormatting>
        <x14:conditionalFormatting xmlns:xm="http://schemas.microsoft.com/office/excel/2006/main">
          <x14:cfRule type="dataBar" id="{24443F5A-4CD3-44C7-BE6F-95A3EAAB76A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U223</xm:sqref>
        </x14:conditionalFormatting>
        <x14:conditionalFormatting xmlns:xm="http://schemas.microsoft.com/office/excel/2006/main">
          <x14:cfRule type="dataBar" id="{76481E0D-5C5D-4AA3-99D8-2298D99C478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U224:U226</xm:sqref>
        </x14:conditionalFormatting>
        <x14:conditionalFormatting xmlns:xm="http://schemas.microsoft.com/office/excel/2006/main">
          <x14:cfRule type="dataBar" id="{464CA977-37B7-48E7-8A2D-F31E17E5E45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U227 U231</xm:sqref>
        </x14:conditionalFormatting>
        <x14:conditionalFormatting xmlns:xm="http://schemas.microsoft.com/office/excel/2006/main">
          <x14:cfRule type="dataBar" id="{88FD1AAF-FB6C-490D-85D3-D94FB0472E4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U228:U230</xm:sqref>
        </x14:conditionalFormatting>
        <x14:conditionalFormatting xmlns:xm="http://schemas.microsoft.com/office/excel/2006/main">
          <x14:cfRule type="dataBar" id="{85BAB23A-2FF2-43F4-A0D3-3B210DF4778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U232:U234</xm:sqref>
        </x14:conditionalFormatting>
        <x14:conditionalFormatting xmlns:xm="http://schemas.microsoft.com/office/excel/2006/main">
          <x14:cfRule type="dataBar" id="{684588E2-7880-4837-A8BD-CF6CACB2445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U235:U236</xm:sqref>
        </x14:conditionalFormatting>
        <x14:conditionalFormatting xmlns:xm="http://schemas.microsoft.com/office/excel/2006/main">
          <x14:cfRule type="dataBar" id="{7D363F7E-555A-46FC-AF66-8A9A68FA260C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U240:U241</xm:sqref>
        </x14:conditionalFormatting>
        <x14:conditionalFormatting xmlns:xm="http://schemas.microsoft.com/office/excel/2006/main">
          <x14:cfRule type="dataBar" id="{F732B2F7-21A1-4565-A6D1-09748264F6B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U243:U247</xm:sqref>
        </x14:conditionalFormatting>
        <x14:conditionalFormatting xmlns:xm="http://schemas.microsoft.com/office/excel/2006/main">
          <x14:cfRule type="dataBar" id="{A06CF36F-AFB1-47C2-97F3-6D1694BAC00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U248:U253 U237:U239 U242</xm:sqref>
        </x14:conditionalFormatting>
        <x14:conditionalFormatting xmlns:xm="http://schemas.microsoft.com/office/excel/2006/main">
          <x14:cfRule type="dataBar" id="{AD0633A5-7E47-4EBC-BAC2-C49B7CC5E44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U254:U256</xm:sqref>
        </x14:conditionalFormatting>
        <x14:conditionalFormatting xmlns:xm="http://schemas.microsoft.com/office/excel/2006/main">
          <x14:cfRule type="dataBar" id="{403DB7D8-2A2E-4179-9F4F-6D7595178D0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U257</xm:sqref>
        </x14:conditionalFormatting>
        <x14:conditionalFormatting xmlns:xm="http://schemas.microsoft.com/office/excel/2006/main">
          <x14:cfRule type="dataBar" id="{D8C79DFC-4992-4CBB-BA9B-31017ACB2C1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U259:U261</xm:sqref>
        </x14:conditionalFormatting>
        <x14:conditionalFormatting xmlns:xm="http://schemas.microsoft.com/office/excel/2006/main">
          <x14:cfRule type="dataBar" id="{F7E50554-919F-4B32-BDC5-CF2F4203AF2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U262</xm:sqref>
        </x14:conditionalFormatting>
        <x14:conditionalFormatting xmlns:xm="http://schemas.microsoft.com/office/excel/2006/main">
          <x14:cfRule type="dataBar" id="{D9F14A33-3A93-435C-98D1-CD3E501B980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U263</xm:sqref>
        </x14:conditionalFormatting>
        <x14:conditionalFormatting xmlns:xm="http://schemas.microsoft.com/office/excel/2006/main">
          <x14:cfRule type="dataBar" id="{C02B1435-77AC-4F60-A4E1-5EBF6CC85B2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U264:U277</xm:sqref>
        </x14:conditionalFormatting>
        <x14:conditionalFormatting xmlns:xm="http://schemas.microsoft.com/office/excel/2006/main">
          <x14:cfRule type="dataBar" id="{920791C0-D5CF-4065-8749-9CFED6F98D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U278:U280</xm:sqref>
        </x14:conditionalFormatting>
        <x14:conditionalFormatting xmlns:xm="http://schemas.microsoft.com/office/excel/2006/main">
          <x14:cfRule type="dataBar" id="{A366A874-221E-4875-84F2-430A0F39B6D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U282</xm:sqref>
        </x14:conditionalFormatting>
        <x14:conditionalFormatting xmlns:xm="http://schemas.microsoft.com/office/excel/2006/main">
          <x14:cfRule type="dataBar" id="{6FC01828-EE2D-4C1B-8B56-77508FA0A45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U283:U284 U281</xm:sqref>
        </x14:conditionalFormatting>
        <x14:conditionalFormatting xmlns:xm="http://schemas.microsoft.com/office/excel/2006/main">
          <x14:cfRule type="dataBar" id="{34C70C1D-9520-4617-8C9E-40017D3C3C4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U285</xm:sqref>
        </x14:conditionalFormatting>
        <x14:conditionalFormatting xmlns:xm="http://schemas.microsoft.com/office/excel/2006/main">
          <x14:cfRule type="dataBar" id="{F08B130B-107D-4570-A1A9-3319361BEBE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ADA00ACD-EBB5-4C3C-AEFA-6C50439AC43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AA26:AA27</xm:sqref>
        </x14:conditionalFormatting>
        <x14:conditionalFormatting xmlns:xm="http://schemas.microsoft.com/office/excel/2006/main">
          <x14:cfRule type="dataBar" id="{5184D819-66A7-4913-AE67-074FCD89E976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F1099E59-9F46-4330-BCC3-58BB030BC0C4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AA28</xm:sqref>
        </x14:conditionalFormatting>
        <x14:conditionalFormatting xmlns:xm="http://schemas.microsoft.com/office/excel/2006/main">
          <x14:cfRule type="dataBar" id="{77C0B6B0-FC4B-4BD7-934B-C5E6DAFBD90B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1A1621A2-3C9D-4537-95D5-01BCBB9DFE90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AA29</xm:sqref>
        </x14:conditionalFormatting>
        <x14:conditionalFormatting xmlns:xm="http://schemas.microsoft.com/office/excel/2006/main">
          <x14:cfRule type="dataBar" id="{B35BEB36-0BC4-486F-BCF4-821AE025FD08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5D9B3C3E-AAB2-4A14-A10A-F242BE5E58B6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AA31</xm:sqref>
        </x14:conditionalFormatting>
        <x14:conditionalFormatting xmlns:xm="http://schemas.microsoft.com/office/excel/2006/main">
          <x14:cfRule type="dataBar" id="{66E78AD7-8F59-4528-8458-4CBD380CB07A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C9375036-B0C8-491E-ADE3-8704B194BCA9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AA32</xm:sqref>
        </x14:conditionalFormatting>
        <x14:conditionalFormatting xmlns:xm="http://schemas.microsoft.com/office/excel/2006/main">
          <x14:cfRule type="dataBar" id="{31EFA275-A2F3-44BA-974D-75B8B14E97C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C5FD9BBE-82EC-4D7B-89F9-8A8A0857FBF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AA33:AA34</xm:sqref>
        </x14:conditionalFormatting>
        <x14:conditionalFormatting xmlns:xm="http://schemas.microsoft.com/office/excel/2006/main">
          <x14:cfRule type="dataBar" id="{5EB5C8D4-8A51-4824-B0DA-F2BFBE0A257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19784EE0-B6FB-46C6-9778-4FEB85AF7503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AA36:AA38</xm:sqref>
        </x14:conditionalFormatting>
        <x14:conditionalFormatting xmlns:xm="http://schemas.microsoft.com/office/excel/2006/main">
          <x14:cfRule type="dataBar" id="{B39D67F3-105E-42F8-BEBC-0DFD9A11B0F0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F7FE625F-5BA4-4528-AAD2-846318BF769A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AA44:AA46</xm:sqref>
        </x14:conditionalFormatting>
        <x14:conditionalFormatting xmlns:xm="http://schemas.microsoft.com/office/excel/2006/main">
          <x14:cfRule type="dataBar" id="{A0A476EC-03CB-416E-A25E-E7308B51DA18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E3B3AD20-4626-419F-8FC8-611838C4553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7BF66C7C-9623-4B7F-9E06-A628B0EF38EC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0AA5DBC6-258A-4078-B359-D0865B49F0B2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07C6B8F1-0358-4FED-84D1-F6B588FF5F3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482DD5CA-F2E8-4CDB-BA13-15E83B6822BE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AA53:AA54</xm:sqref>
        </x14:conditionalFormatting>
        <x14:conditionalFormatting xmlns:xm="http://schemas.microsoft.com/office/excel/2006/main">
          <x14:cfRule type="dataBar" id="{74E3ACD0-D17F-4C4C-80C4-0340359EDC7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3D8D2D8E-4114-4A21-9C3F-F132EE35ED9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AA55:AA72</xm:sqref>
        </x14:conditionalFormatting>
        <x14:conditionalFormatting xmlns:xm="http://schemas.microsoft.com/office/excel/2006/main">
          <x14:cfRule type="dataBar" id="{C6101ECC-9FEC-4FB7-9D18-233717A9A190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2F027B2A-E7DB-4556-84CC-72009436DC19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AA73:AA103 AA49:AA51</xm:sqref>
        </x14:conditionalFormatting>
        <x14:conditionalFormatting xmlns:xm="http://schemas.microsoft.com/office/excel/2006/main">
          <x14:cfRule type="dataBar" id="{C39569AF-4CFD-40DB-9BAF-9731BB743501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CEA2427A-3C78-4A95-B4CA-E8B03A319AF5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AA125:AA145</xm:sqref>
        </x14:conditionalFormatting>
        <x14:conditionalFormatting xmlns:xm="http://schemas.microsoft.com/office/excel/2006/main">
          <x14:cfRule type="dataBar" id="{A6BFD6B8-ABBF-4DE3-8505-708E5EFD8E37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729402D8-5894-45A8-B247-9EE4059C03A6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AA162:AA166</xm:sqref>
        </x14:conditionalFormatting>
        <x14:conditionalFormatting xmlns:xm="http://schemas.microsoft.com/office/excel/2006/main">
          <x14:cfRule type="dataBar" id="{D60CD6DE-8148-4A2C-8387-9B8B2DD4218D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14:cfRule type="dataBar" id="{6B39A5D7-57A6-4867-BE51-E4AB825F550C}">
            <x14:dataBar direction="leftToRight">
              <x14:cfvo type="min"/>
              <x14:cfvo type="max"/>
              <x14:negativeFillColor rgb="FFFF0000"/>
              <x14:axisColor rgb="FF000000"/>
            </x14:dataBar>
          </x14:cfRule>
          <xm:sqref>AA169:AA179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18B-BE78-4B8B-A1B5-86863DECC51F}">
  <dimension ref="D3:Q9"/>
  <sheetViews>
    <sheetView zoomScale="85" zoomScaleNormal="85" workbookViewId="0">
      <selection activeCell="K45" sqref="A44:K45"/>
    </sheetView>
  </sheetViews>
  <sheetFormatPr defaultRowHeight="16.5" x14ac:dyDescent="0.3"/>
  <cols>
    <col min="4" max="16" width="12.75" customWidth="1"/>
    <col min="17" max="17" width="11.625" bestFit="1" customWidth="1"/>
  </cols>
  <sheetData>
    <row r="3" spans="4:17" ht="17.25" thickBot="1" x14ac:dyDescent="0.35"/>
    <row r="4" spans="4:17" x14ac:dyDescent="0.3">
      <c r="D4" s="330" t="s">
        <v>579</v>
      </c>
      <c r="E4" s="334" t="s">
        <v>575</v>
      </c>
      <c r="F4" s="334"/>
      <c r="G4" s="334"/>
      <c r="H4" s="334" t="s">
        <v>576</v>
      </c>
      <c r="I4" s="334"/>
      <c r="J4" s="334"/>
      <c r="K4" s="334" t="s">
        <v>577</v>
      </c>
      <c r="L4" s="334"/>
      <c r="M4" s="334"/>
      <c r="N4" s="334" t="s">
        <v>512</v>
      </c>
      <c r="O4" s="334"/>
      <c r="P4" s="334"/>
      <c r="Q4" s="332" t="s">
        <v>583</v>
      </c>
    </row>
    <row r="5" spans="4:17" ht="17.25" thickBot="1" x14ac:dyDescent="0.35">
      <c r="D5" s="331"/>
      <c r="E5" s="304" t="s">
        <v>580</v>
      </c>
      <c r="F5" s="304" t="s">
        <v>581</v>
      </c>
      <c r="G5" s="304" t="s">
        <v>582</v>
      </c>
      <c r="H5" s="304" t="s">
        <v>580</v>
      </c>
      <c r="I5" s="304" t="s">
        <v>581</v>
      </c>
      <c r="J5" s="304" t="s">
        <v>582</v>
      </c>
      <c r="K5" s="304" t="s">
        <v>580</v>
      </c>
      <c r="L5" s="304" t="s">
        <v>581</v>
      </c>
      <c r="M5" s="304" t="s">
        <v>582</v>
      </c>
      <c r="N5" s="304" t="s">
        <v>580</v>
      </c>
      <c r="O5" s="304" t="s">
        <v>581</v>
      </c>
      <c r="P5" s="304" t="s">
        <v>582</v>
      </c>
      <c r="Q5" s="333"/>
    </row>
    <row r="6" spans="4:17" ht="17.25" thickTop="1" x14ac:dyDescent="0.3">
      <c r="D6" s="301" t="s">
        <v>409</v>
      </c>
      <c r="E6" s="302" cm="1">
        <f t="array" ref="E6">SUMPRODUCT((WBS_선행개발!$D$19:$D$103=2)*(WBS_선행개발!$P$19:$P$103="핑거")*WBS_선행개발!$X$19:$X$103)*WBS_선행개발!$V$18</f>
        <v>2.3249999999999998E-3</v>
      </c>
      <c r="F6" s="302" cm="1">
        <f t="array" ref="F6">SUMPRODUCT((WBS_선행개발!$D$19:$D$103=2)*(WBS_선행개발!$P$19:$P$103="핑거")*WBS_선행개발!$W$19:$W$103)*WBS_선행개발!$V$18</f>
        <v>3.7312500000000005E-2</v>
      </c>
      <c r="G6" s="302">
        <f>IFERROR(E6/F6,0)</f>
        <v>6.2311557788944712E-2</v>
      </c>
      <c r="H6" s="302" cm="1">
        <f t="array" ref="H6">SUMPRODUCT((WBS_선행개발!$D$105:$D$220=2)*(WBS_선행개발!$P$105:$P$220="핑거")*WBS_선행개발!$X$105:$X$220)*WBS_선행개발!$V$104</f>
        <v>0</v>
      </c>
      <c r="I6" s="302" cm="1">
        <f t="array" ref="I6">SUMPRODUCT((WBS_선행개발!$D$105:$D$220=2)*(WBS_선행개발!$P$105:$P$220="핑거")*WBS_선행개발!$W$105:$W$220)*WBS_선행개발!$V$104</f>
        <v>1.1725810096591946E-2</v>
      </c>
      <c r="J6" s="302">
        <f>IFERROR(H6/I6,0)</f>
        <v>0</v>
      </c>
      <c r="K6" s="302" cm="1">
        <f t="array" ref="K6">SUMPRODUCT((WBS_선행개발!$D$222:$D$261=2)*(WBS_선행개발!$P$222:$P$261="핑거")*WBS_선행개발!$X$222:$X$261)*WBS_선행개발!$V$221</f>
        <v>0</v>
      </c>
      <c r="L6" s="302" cm="1">
        <f t="array" ref="L6">SUMPRODUCT((WBS_선행개발!$D$222:$D$261=2)*(WBS_선행개발!$P$222:$P$261="핑거")*WBS_선행개발!$W$222:$W$261)*WBS_선행개발!$V$221</f>
        <v>0</v>
      </c>
      <c r="M6" s="302">
        <f>IFERROR(K6/L6,0)</f>
        <v>0</v>
      </c>
      <c r="N6" s="302" cm="1">
        <f t="array" ref="N6">SUMPRODUCT((WBS_선행개발!$D$263:$D$285=2)*(WBS_선행개발!$P$263:$P$285="핑거")*WBS_선행개발!$X$263:$X$285)*WBS_선행개발!$V$262</f>
        <v>0</v>
      </c>
      <c r="O6" s="302" cm="1">
        <f t="array" ref="O6">SUMPRODUCT((WBS_선행개발!$D$263:$D$285=2)*(WBS_선행개발!$P$263:$P$285="핑거")*WBS_선행개발!$W$263:$W$285)*WBS_선행개발!$V$262</f>
        <v>0</v>
      </c>
      <c r="P6" s="302">
        <f>IFERROR(N6/O6,0)</f>
        <v>0</v>
      </c>
      <c r="Q6" s="303">
        <f>IFERROR((E6+H6+K6+N6)/(F6+I6+L6+O6),0)</f>
        <v>4.7411911124596071E-2</v>
      </c>
    </row>
    <row r="7" spans="4:17" x14ac:dyDescent="0.3">
      <c r="D7" s="296" t="s">
        <v>578</v>
      </c>
      <c r="E7" s="295" cm="1">
        <f t="array" ref="E7">SUMPRODUCT((WBS_선행개발!$D$19:$D$103=2)*(WBS_선행개발!$P$19:$P$103="시루정보")*WBS_선행개발!$X$19:$X$103)*WBS_선행개발!$V$18</f>
        <v>7.2750000000000009E-2</v>
      </c>
      <c r="F7" s="295" cm="1">
        <f t="array" ref="F7">SUMPRODUCT((WBS_선행개발!$D$19:$D$103=2)*(WBS_선행개발!$P$19:$P$103="시루정보")*WBS_선행개발!$W$19:$W$103)*WBS_선행개발!$V$18</f>
        <v>7.4999999999999997E-2</v>
      </c>
      <c r="G7" s="295">
        <f>IFERROR(E7/F7,0)</f>
        <v>0.9700000000000002</v>
      </c>
      <c r="H7" s="295" cm="1">
        <f t="array" ref="H7">SUMPRODUCT((WBS_선행개발!$D$105:$D$220=2)*(WBS_선행개발!$P$105:$P$220="시루정보")*WBS_선행개발!$X$105:$X$220)*WBS_선행개발!$V$104</f>
        <v>0</v>
      </c>
      <c r="I7" s="295" cm="1">
        <f t="array" ref="I7">SUMPRODUCT((WBS_선행개발!$D$105:$D$220=2)*(WBS_선행개발!$P$105:$P$220="시루정보")*WBS_선행개발!$W$105:$W$220)*WBS_선행개발!$V$104</f>
        <v>8.400000000000003E-3</v>
      </c>
      <c r="J7" s="295">
        <f>IFERROR(H7/I7,0)</f>
        <v>0</v>
      </c>
      <c r="K7" s="295" cm="1">
        <f t="array" ref="K7">SUMPRODUCT((WBS_선행개발!$D$222:$D$261=2)*(WBS_선행개발!$P$222:$P$261="시루정보")*WBS_선행개발!$X$222:$X$261)*WBS_선행개발!$V$221</f>
        <v>0</v>
      </c>
      <c r="L7" s="295" cm="1">
        <f t="array" ref="L7">SUMPRODUCT((WBS_선행개발!$D$222:$D$261=2)*(WBS_선행개발!$P$222:$P$261="시루정보")*WBS_선행개발!$W$222:$W$261)*WBS_선행개발!$V$221</f>
        <v>0</v>
      </c>
      <c r="M7" s="295">
        <f>IFERROR(K7/L7,0)</f>
        <v>0</v>
      </c>
      <c r="N7" s="295" cm="1">
        <f t="array" ref="N7">SUMPRODUCT((WBS_선행개발!$D$263:$D$285=2)*(WBS_선행개발!$P$263:$P$285="시루정보")*WBS_선행개발!$X$263:$X$285)*WBS_선행개발!$V$262</f>
        <v>0</v>
      </c>
      <c r="O7" s="295" cm="1">
        <f t="array" ref="O7">SUMPRODUCT((WBS_선행개발!$D$263:$D$285=2)*(WBS_선행개발!$P$263:$P$285="시루정보")*WBS_선행개발!$W$263:$W$285)*WBS_선행개발!$V$262</f>
        <v>0</v>
      </c>
      <c r="P7" s="295">
        <f>IFERROR(N7/O7,0)</f>
        <v>0</v>
      </c>
      <c r="Q7" s="297">
        <f>IFERROR((E7+H7+K7+N7)/(F7+I7+L7+O7),0)</f>
        <v>0.87230215827338142</v>
      </c>
    </row>
    <row r="8" spans="4:17" ht="17.25" thickBot="1" x14ac:dyDescent="0.35">
      <c r="D8" s="298" t="s">
        <v>408</v>
      </c>
      <c r="E8" s="299" cm="1">
        <f t="array" ref="E8">SUMPRODUCT((WBS_선행개발!$D$19:$D$103=2)*(WBS_선행개발!$P$19:$P$103="더큰소프트")*WBS_선행개발!$X$19:$X$103)*WBS_선행개발!$V$18</f>
        <v>3.3750000000000004E-3</v>
      </c>
      <c r="F8" s="299" cm="1">
        <f t="array" ref="F8">SUMPRODUCT((WBS_선행개발!$D$19:$D$103=2)*(WBS_선행개발!$P$19:$P$103="더큰소프트")*WBS_선행개발!$W$19:$W$103)*WBS_선행개발!$V$18</f>
        <v>1.3636363636363634E-2</v>
      </c>
      <c r="G8" s="299">
        <f>IFERROR(E8/F8,0)</f>
        <v>0.24750000000000008</v>
      </c>
      <c r="H8" s="299" cm="1">
        <f t="array" ref="H8">SUMPRODUCT((WBS_선행개발!$D$105:$D$220=2)*(WBS_선행개발!$P$105:$P$220="더큰소프트")*WBS_선행개발!$X$105:$X$220)*WBS_선행개발!$V$104</f>
        <v>0</v>
      </c>
      <c r="I8" s="299" cm="1">
        <f t="array" ref="I8">SUMPRODUCT((WBS_선행개발!$D$105:$D$220=2)*(WBS_선행개발!$P$105:$P$220="더큰소프트")*WBS_선행개발!$W$105:$W$220)*WBS_선행개발!$V$104</f>
        <v>1.5443478260869567E-2</v>
      </c>
      <c r="J8" s="299">
        <f>IFERROR(H8/I8,0)</f>
        <v>0</v>
      </c>
      <c r="K8" s="299" cm="1">
        <f t="array" ref="K8">SUMPRODUCT((WBS_선행개발!$D$222:$D$261=2)*(WBS_선행개발!$P$222:$P$261="더큰소프트")*WBS_선행개발!$X$222:$X$261)*WBS_선행개발!$V$221</f>
        <v>0</v>
      </c>
      <c r="L8" s="299" cm="1">
        <f t="array" ref="L8">SUMPRODUCT((WBS_선행개발!$D$222:$D$261=2)*(WBS_선행개발!$P$222:$P$261="더큰소프트")*WBS_선행개발!$W$222:$W$261)*WBS_선행개발!$V$221</f>
        <v>0</v>
      </c>
      <c r="M8" s="299">
        <f>IFERROR(K8/L8,0)</f>
        <v>0</v>
      </c>
      <c r="N8" s="299" cm="1">
        <f t="array" ref="N8">SUMPRODUCT((WBS_선행개발!$D$263:$D$285=2)*(WBS_선행개발!$P$263:$P$285="더큰소프트")*WBS_선행개발!$X$263:$X$285)*WBS_선행개발!$V$262</f>
        <v>0</v>
      </c>
      <c r="O8" s="299" cm="1">
        <f t="array" ref="O8">SUMPRODUCT((WBS_선행개발!$D$263:$D$285=2)*(WBS_선행개발!$P$263:$P$285="더큰소프트")*WBS_선행개발!$W$263:$W$285)*WBS_선행개발!$V$262</f>
        <v>0</v>
      </c>
      <c r="P8" s="299">
        <f>IFERROR(N8/O8,0)</f>
        <v>0</v>
      </c>
      <c r="Q8" s="300">
        <f>IFERROR((E8+H8+K8+N8)/(F8+I8+L8+O8),0)</f>
        <v>0.11605977817648021</v>
      </c>
    </row>
    <row r="9" spans="4:17" x14ac:dyDescent="0.3">
      <c r="D9" s="294"/>
    </row>
  </sheetData>
  <mergeCells count="6">
    <mergeCell ref="D4:D5"/>
    <mergeCell ref="Q4:Q5"/>
    <mergeCell ref="N4:P4"/>
    <mergeCell ref="K4:M4"/>
    <mergeCell ref="H4:J4"/>
    <mergeCell ref="E4:G4"/>
  </mergeCells>
  <phoneticPr fontId="6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C24"/>
  <sheetViews>
    <sheetView zoomScaleNormal="100" zoomScaleSheetLayoutView="100" workbookViewId="0">
      <selection activeCell="F8" sqref="F8"/>
    </sheetView>
  </sheetViews>
  <sheetFormatPr defaultColWidth="9" defaultRowHeight="16.5" x14ac:dyDescent="0.3"/>
  <cols>
    <col min="1" max="1" width="9" style="213"/>
    <col min="2" max="2" width="11.125" style="213" bestFit="1" customWidth="1"/>
    <col min="3" max="16384" width="9" style="213"/>
  </cols>
  <sheetData>
    <row r="2" spans="2:3" ht="17.25" x14ac:dyDescent="0.3">
      <c r="B2" s="335" t="s">
        <v>185</v>
      </c>
      <c r="C2" s="335"/>
    </row>
    <row r="3" spans="2:3" x14ac:dyDescent="0.3">
      <c r="B3" s="217" t="s">
        <v>43</v>
      </c>
      <c r="C3" s="216" t="s">
        <v>77</v>
      </c>
    </row>
    <row r="4" spans="2:3" x14ac:dyDescent="0.3">
      <c r="B4" s="215">
        <v>46023</v>
      </c>
      <c r="C4" s="214" t="s">
        <v>200</v>
      </c>
    </row>
    <row r="5" spans="2:3" x14ac:dyDescent="0.3">
      <c r="B5" s="215">
        <v>46069</v>
      </c>
      <c r="C5" s="214" t="s">
        <v>187</v>
      </c>
    </row>
    <row r="6" spans="2:3" x14ac:dyDescent="0.3">
      <c r="B6" s="215">
        <v>46070</v>
      </c>
      <c r="C6" s="214" t="s">
        <v>187</v>
      </c>
    </row>
    <row r="7" spans="2:3" x14ac:dyDescent="0.3">
      <c r="B7" s="215">
        <v>46071</v>
      </c>
      <c r="C7" s="214" t="s">
        <v>187</v>
      </c>
    </row>
    <row r="8" spans="2:3" x14ac:dyDescent="0.3">
      <c r="B8" s="215">
        <v>46082</v>
      </c>
      <c r="C8" s="214" t="s">
        <v>58</v>
      </c>
    </row>
    <row r="9" spans="2:3" x14ac:dyDescent="0.3">
      <c r="B9" s="215">
        <v>46083</v>
      </c>
      <c r="C9" s="214" t="s">
        <v>58</v>
      </c>
    </row>
    <row r="10" spans="2:3" x14ac:dyDescent="0.3">
      <c r="B10" s="215">
        <v>46147</v>
      </c>
      <c r="C10" s="214" t="s">
        <v>51</v>
      </c>
    </row>
    <row r="11" spans="2:3" x14ac:dyDescent="0.3">
      <c r="B11" s="215">
        <v>46166</v>
      </c>
      <c r="C11" s="214" t="s">
        <v>53</v>
      </c>
    </row>
    <row r="12" spans="2:3" x14ac:dyDescent="0.3">
      <c r="B12" s="215">
        <v>46167</v>
      </c>
      <c r="C12" s="214" t="s">
        <v>53</v>
      </c>
    </row>
    <row r="13" spans="2:3" x14ac:dyDescent="0.3">
      <c r="B13" s="215">
        <v>46179</v>
      </c>
      <c r="C13" s="214" t="s">
        <v>188</v>
      </c>
    </row>
    <row r="14" spans="2:3" x14ac:dyDescent="0.3">
      <c r="B14" s="215">
        <v>46249</v>
      </c>
      <c r="C14" s="214" t="s">
        <v>189</v>
      </c>
    </row>
    <row r="15" spans="2:3" x14ac:dyDescent="0.3">
      <c r="B15" s="215">
        <v>46251</v>
      </c>
      <c r="C15" s="214" t="s">
        <v>189</v>
      </c>
    </row>
    <row r="16" spans="2:3" x14ac:dyDescent="0.3">
      <c r="B16" s="215">
        <v>46289</v>
      </c>
      <c r="C16" s="214" t="s">
        <v>192</v>
      </c>
    </row>
    <row r="17" spans="2:3" x14ac:dyDescent="0.3">
      <c r="B17" s="215">
        <v>46290</v>
      </c>
      <c r="C17" s="214" t="s">
        <v>192</v>
      </c>
    </row>
    <row r="18" spans="2:3" x14ac:dyDescent="0.3">
      <c r="B18" s="215">
        <v>46291</v>
      </c>
      <c r="C18" s="214" t="s">
        <v>192</v>
      </c>
    </row>
    <row r="19" spans="2:3" x14ac:dyDescent="0.3">
      <c r="B19" s="215">
        <v>46292</v>
      </c>
      <c r="C19" s="214" t="s">
        <v>192</v>
      </c>
    </row>
    <row r="20" spans="2:3" x14ac:dyDescent="0.3">
      <c r="B20" s="215">
        <v>46298</v>
      </c>
      <c r="C20" s="214" t="s">
        <v>198</v>
      </c>
    </row>
    <row r="21" spans="2:3" x14ac:dyDescent="0.3">
      <c r="B21" s="215">
        <v>46300</v>
      </c>
      <c r="C21" s="214" t="s">
        <v>198</v>
      </c>
    </row>
    <row r="22" spans="2:3" x14ac:dyDescent="0.3">
      <c r="B22" s="215">
        <v>46304</v>
      </c>
      <c r="C22" s="214" t="s">
        <v>203</v>
      </c>
    </row>
    <row r="23" spans="2:3" x14ac:dyDescent="0.3">
      <c r="B23" s="215">
        <v>46381</v>
      </c>
      <c r="C23" s="214" t="s">
        <v>52</v>
      </c>
    </row>
    <row r="24" spans="2:3" x14ac:dyDescent="0.3">
      <c r="B24" s="215"/>
      <c r="C24" s="214"/>
    </row>
  </sheetData>
  <mergeCells count="1">
    <mergeCell ref="B2:C2"/>
  </mergeCells>
  <phoneticPr fontId="64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표지</vt:lpstr>
      <vt:lpstr>개정이력</vt:lpstr>
      <vt:lpstr>WBS_선행개발</vt:lpstr>
      <vt:lpstr>시스템별 진척관리</vt:lpstr>
      <vt:lpstr>holiday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komsco</dc:creator>
  <cp:lastModifiedBy>안호 김</cp:lastModifiedBy>
  <cp:revision>158</cp:revision>
  <dcterms:created xsi:type="dcterms:W3CDTF">2025-07-09T01:49:26Z</dcterms:created>
  <dcterms:modified xsi:type="dcterms:W3CDTF">2026-04-07T09:59:13Z</dcterms:modified>
  <cp:version>1300.0100.01</cp:version>
</cp:coreProperties>
</file>